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2026 Yaneth Gomez\Corporacion Protectora Verde\"/>
    </mc:Choice>
  </mc:AlternateContent>
  <xr:revisionPtr revIDLastSave="0" documentId="13_ncr:1_{A92F1F55-0B10-412C-B512-636688196D65}" xr6:coauthVersionLast="47" xr6:coauthVersionMax="47" xr10:uidLastSave="{00000000-0000-0000-0000-000000000000}"/>
  <bookViews>
    <workbookView xWindow="-120" yWindow="-120" windowWidth="20730" windowHeight="11160" xr2:uid="{00000000-000D-0000-FFFF-FFFF00000000}"/>
  </bookViews>
  <sheets>
    <sheet name="Table 1" sheetId="1" r:id="rId1"/>
    <sheet name="Metodología y fuen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5" i="1" l="1"/>
  <c r="A114" i="1"/>
  <c r="F115" i="1"/>
  <c r="G108"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alcChain>
</file>

<file path=xl/sharedStrings.xml><?xml version="1.0" encoding="utf-8"?>
<sst xmlns="http://schemas.openxmlformats.org/spreadsheetml/2006/main" count="910" uniqueCount="278">
  <si>
    <t>No.</t>
  </si>
  <si>
    <t>NOMBRE PROYECTO</t>
  </si>
  <si>
    <t>DEPARTAMENTO</t>
  </si>
  <si>
    <t>MUNICIPIO</t>
  </si>
  <si>
    <t>SECTOR</t>
  </si>
  <si>
    <t>VALOR $</t>
  </si>
  <si>
    <t>Construcción de un Parque Solar Santa Maria de 9.9 MW en el Coregimiento de El 15, Vereda los Corrales Montería - Córdoba.</t>
  </si>
  <si>
    <t>Córdoba</t>
  </si>
  <si>
    <t>Montería</t>
  </si>
  <si>
    <t>Implementación de Tecnologías Digitales para el Acceso a las Tic y Aprender en Instituciones Educativas Publicas del Municipio de Paratebueno Departamento de Cundinamarca</t>
  </si>
  <si>
    <t>Cundinamarca</t>
  </si>
  <si>
    <t>Paratebueno</t>
  </si>
  <si>
    <t>Implementación de 800 hectáreas de ñame con pequeños productores campesinos, como estrategia de desarrollo económico en el municipio de San Juan de Urabá-Antioquia</t>
  </si>
  <si>
    <t>Antioqia</t>
  </si>
  <si>
    <t>San Juan de Uraba</t>
  </si>
  <si>
    <t>Desarrollo del un Proyecto Solar de 1 MW en el Municipio de Guacarí, departamento del Valle del Cauca</t>
  </si>
  <si>
    <t>Guacarí</t>
  </si>
  <si>
    <t>Valle del cauca</t>
  </si>
  <si>
    <t>Implementación de Granja Avicola con Gallinas Ponedoras y de Engorde, con uso de Energía Solar en la Vereda Aguas Negras Municipio de Montería Departamento de Córdoba</t>
  </si>
  <si>
    <t>Códoba</t>
  </si>
  <si>
    <t>Establecimiento de una Factoria Solar en el Corregimiento de Aguas Negras, Monteria Departamento de Córdoba</t>
  </si>
  <si>
    <t>Implementación de Tecnologías Digitales para el Acceso a las Tic y Aprender en Instituciones Educativas Publicas del Municipio de Fúquene Departamento de Cundinamarca</t>
  </si>
  <si>
    <t>Fuquene</t>
  </si>
  <si>
    <t>Colombia</t>
  </si>
  <si>
    <t>Implementación de Tecnologías Digitales para el Acceso a las Tic y Aprender en Instituciones Educativas Publicas del Municipio de Garagoa Departamento de Boyacá</t>
  </si>
  <si>
    <t>Garagoa</t>
  </si>
  <si>
    <t>Implementación de Tecnologías Digitales para el Acceso a las Tic y Aprender en Instituciones Educativas Publicas del Municipio de La Capilla Departamento de Boyacá</t>
  </si>
  <si>
    <t>La Capilla</t>
  </si>
  <si>
    <t>$6,367,168,342</t>
  </si>
  <si>
    <t>Implementación de Tecnologías Digitales para el Acceso a las Tic y Aprender en Instituciones Educativas Publicas del Municipio de Peque Departamento de Antioquia</t>
  </si>
  <si>
    <t>Peque</t>
  </si>
  <si>
    <t>$6,367,377,400</t>
  </si>
  <si>
    <t>Implementación de Tecnologías Digitales para el Acceso a las Tic y Aprender en Instituciones Educativas Publicas del Municipio de Ebejico Departamento de Antioquia</t>
  </si>
  <si>
    <t>Ebejico</t>
  </si>
  <si>
    <t>$6,755,400,657</t>
  </si>
  <si>
    <t>Implementación de Tecnologías Digitales para el Acceso a las Tic y Aprender en Instituciones Educativas Publicas del Municipio de San Carlos Departamento de Antioquia</t>
  </si>
  <si>
    <t>San Carlos</t>
  </si>
  <si>
    <t>$6,465,308,679</t>
  </si>
  <si>
    <t>Implementación de Tecnologías Digitales para el Acceso a las Tic y Aprender en Instituciones Educativas Publicas del Municipio de La Belleza Departamento de Santander</t>
  </si>
  <si>
    <t>Santander</t>
  </si>
  <si>
    <t>La Belleza</t>
  </si>
  <si>
    <t>$6,268,571,179</t>
  </si>
  <si>
    <t>Implementación de Tecnologías Digitales para el Acceso a las Tic y Aprender en Instituciones Educativas Publicas del Municipio de Manaure Departamento de La Guajira</t>
  </si>
  <si>
    <t>La Guajira</t>
  </si>
  <si>
    <t>Manaure</t>
  </si>
  <si>
    <t>Implementación de Tecnologías Digitales para el Acceso a las Tic y Aprender en Instituciones Educativas Publicas del Municipio de Santiago de Tolú Departamento de Sucre</t>
  </si>
  <si>
    <t>Sucre</t>
  </si>
  <si>
    <t>Tolú</t>
  </si>
  <si>
    <t>Desarrollo de una Estrategia Integral para la Prevención y Protección en el Consumo y Uso de Sustancias Psicoactivas en el Municipio de Piedecuesta, Departamento de Santander.</t>
  </si>
  <si>
    <t>Piedecuesta</t>
  </si>
  <si>
    <t>Fortalecimiento y desarrollo de Programas y Acciones para la Prevención y Protección Contra Uso y Consumo de Sustancias Psicoactivas en el Municipio de Turbo - Antioquía</t>
  </si>
  <si>
    <t>Turbo</t>
  </si>
  <si>
    <t>Implementación y Desarrollo de Programas y Acciones para la Prevención y Protección Contra el Uso y Consumo de Sustancias Psicoactivas en el Municipio de Santiago de Tolú, Departamento de Sucre.</t>
  </si>
  <si>
    <t>Ampliación de Programas y Estrategias con Enfoque Diferencial para la Prevención y Protección Contra la Adicción, Uso, Abuso y Consumo de Sustancias Psicoactivas en el Municipio de Caldas Departamento de Antioquia.</t>
  </si>
  <si>
    <t>Caldas</t>
  </si>
  <si>
    <t>Formulación de Estrategias y Acciones en Salud Pública con Enfoque Diferencial para la Prevención y Protección Contra el Uso, Abuso, Consumo y Adicción de Sustancias Psicoactivas y sus Impactos de Vulnerabilidad en la Salud Mental y Fisica de la Población del Municipio de Carepa - Antioquia</t>
  </si>
  <si>
    <t>Carepa</t>
  </si>
  <si>
    <t>Fortalecimiento y Ampliación de Estrategias y Acciones para la Prevención y Protección Contra el Uso y Consumo de Sustancias Psicoactivas en el Municipio de Chigorodó, Departamento de Antioquia.</t>
  </si>
  <si>
    <t>Chigorodó</t>
  </si>
  <si>
    <t>Formulación e Implementación de Programas, Acciones y Estrategias con Enfoque Diferencial para la Prevención y Protección Contra el Uso, Abuso y Consumo de Sustancias Psicoactivas en el Municipio de Ebéjico, Departamento de Antioquia.</t>
  </si>
  <si>
    <t>Desarrollo de Políticas y Acciones en Salud Pública con Enfoque Diferencial para la Prevención y Protección Contra el Uso, Abuso, Consumo y Adicción de Sustancias Psicoactivas y sus Vulnerabilidades en la Salud Mental del Municipio de San Pedro de Urabá, Antioquia.</t>
  </si>
  <si>
    <t>San Pedro de Uraba</t>
  </si>
  <si>
    <t>Desarrollo de Acciones en Salud Pública con Enfoque Diferencial para el Fortalecimiento, Prevención, Protección y Recuperación del Bienestar Mental, Emocional y Social en Grupos Poblacionales Vulnerables del Municipio de Peque, Antioquia</t>
  </si>
  <si>
    <t>Implementación de Estrategias para el Fortalecimiento de la Salud Pública con Enfoque Diferencial en Prevención, Protección y Recuperación del Bienestar Mental, Emocional y Social de los Ciudadanos en el Municipio de San Carlos Departamento de Antioquia</t>
  </si>
  <si>
    <t>Desarrollo Tecnificado de Cultivo de Tomate con Familias Desplazadas Victimas de Conflicto y Posconflicto en el Municipio de Beltrán – Cundinamarca</t>
  </si>
  <si>
    <t>Beltran</t>
  </si>
  <si>
    <t>CONSTRUCCION PARQUE TEMATICO CARACOLI CIUDAD VERDE INTELIGENTE AGRO AMBIENTAL, INDUSTRIAL Y CULTURAL PASTO</t>
  </si>
  <si>
    <t>Nariño</t>
  </si>
  <si>
    <t>Pasto</t>
  </si>
  <si>
    <t>DESARROLLO PATIOS PRODUCTIVOS AUTOSUFICIENTES PARA LA POBLACION VULNERABLE QUE VIVEN EN VEREDAS Y CORREGIMIENTOS DEL MUNICIPIO DE PLANETA RICA - CORDOBA</t>
  </si>
  <si>
    <t>Planeta Rica</t>
  </si>
  <si>
    <t>DESARROLLO PATIOS PRODUCTIVOS AUTOSUFICIENTES PARA LA POBLACION VULNERABLE QUE VIVEN EN VEREDAS Y CORREGIMIENTOS DEL MUNICIPIO DE GALERAS - SUCRE</t>
  </si>
  <si>
    <t>Galeras</t>
  </si>
  <si>
    <t>Implementación de un Sistema Acuaponico de Recirculación de Tilapia en el Municipio de PACHO (Vereda PASUNCHA) Departamento de Cundinamarca</t>
  </si>
  <si>
    <t>Pacho</t>
  </si>
  <si>
    <t>Establecer una Línea Productiva Asociativa de Piscicultura con Cultivos de Tilapia Roja y Cachama, con la inclusión de Familias Campesinas Victimas del Conflicto Armado en el Municipio de Acacias Departamento del Meta</t>
  </si>
  <si>
    <t>Meta</t>
  </si>
  <si>
    <t>Acacias</t>
  </si>
  <si>
    <t>Desarrollo de Energía Solar Fotovoltaica en las Veredas La Sardinas, Santa Isabel, Acae, Serranía, Alto Guispa, El Azul, Pital, Bellavista, Primavera del Guamues, Brisas del Rumiyaco, Libano, Silvania, San Andrés, Altamira, Guayabal, Nueva Esperanza en el Municipio de Orito - Putumayo</t>
  </si>
  <si>
    <t>Orito</t>
  </si>
  <si>
    <t>Putumayo</t>
  </si>
  <si>
    <t>ESTABLECER UNA ESTRATEGIA PRODUCTIVA PARA GENERAR INGRESOS Y EMPLEO RURAL A FAMILIAS CAMPESINAS POR MEDIO DE CULTIVOS DE AGUACATE Y LIMON EN EL MUNICIPIO DE GRANADAS DEPARTAMENTO DE ANTIOQUIA</t>
  </si>
  <si>
    <t>Granadas</t>
  </si>
  <si>
    <t>IMPLEMENTACIÓN DE ESTRATEGIAS PARA LA CONSERVACIÓN Y RECUPERACIÓN DE LA CIENAGA DEL SAHAYA EN EL MUNICIPIO DE PELAYA DEPARTAMENTO DEL CESAR</t>
  </si>
  <si>
    <t>Cesar</t>
  </si>
  <si>
    <t>Pelaya</t>
  </si>
  <si>
    <t>CONSTRUCCIÓN DE UNIDADES SANITARIAS PARA VIVIENDA RURAL DISPERSA EN EL MUNICIPIO DE EL CHARCO, DEPARTAMENTO DE NARIÑO</t>
  </si>
  <si>
    <t>El Charco</t>
  </si>
  <si>
    <t>CONSTRUCCIÓN DE UNIDADES SANITARIAS PARA VIVIENDA RURAL DISPERSA EN EL MUNICIPIO DE FRANCISCO PIZARRO, DEPARTAMENTO DE NARIÑO</t>
  </si>
  <si>
    <t>Francisco Pizarro</t>
  </si>
  <si>
    <t>DESARROLLO Y ESTABLECIMIENTO DE UNA LINEA PRODUCTIVA AVICOLA CON POLLOS DE ENGORDE PARA 30 FAMILIAS CAMPESINAS EN EL MUNICIPIO AGUSTIN CODAZI - CESAR</t>
  </si>
  <si>
    <t>Agustin Codazi</t>
  </si>
  <si>
    <t>FORTALECIMIENTO ORGANIZATIVO, PRODUCTIVO Y TECNOLÓGICO SOSTENIBLE A 50 PEQUEÑOS GANADEROS, PERTENECIENTES DEL DEPARTAMENTO DE CORDOBA</t>
  </si>
  <si>
    <t>Cordoba</t>
  </si>
  <si>
    <t>Monteria</t>
  </si>
  <si>
    <t>MEJORAMIENTO DE LA VÍA TERCIARIA SECTOR DE LA VIRGEN A SAN PEDRO MEDIANTE LA CONSTRUCCIÓN DE PLACA HUELLA DEL TRAMO ENTRE EL K 14+690 HASTA EL K 23+225, DEL MUNICIPIO DE CIÉNAGA, DEPARTAMENTO DEL MAGDALENA</t>
  </si>
  <si>
    <t>Magdalena</t>
  </si>
  <si>
    <t>Cienaga</t>
  </si>
  <si>
    <t>Establecimiento de 30 estanques en geo membrana para la producción de mojarra roja, beneficiando a 40 piscicultores del Municipio de Cubará; Departamento de Boyacá</t>
  </si>
  <si>
    <t>Boyacá</t>
  </si>
  <si>
    <t>Cubará</t>
  </si>
  <si>
    <t>PROYECTO: OPTIMIZACION DE LA PLANTA DE TRATAMIENTO DE AGUAS RESIDUALES EL SANTUARIO DEL MUNICIPIO DE PIEDECUESTA – SANTANDER</t>
  </si>
  <si>
    <r>
      <rPr>
        <sz val="10"/>
        <rFont val="Arial"/>
        <family val="2"/>
      </rPr>
      <t>CONSTRUCCION DE LOS SISTEMAS DE ENERGIA SOLAR FOTOVOLTAICA PARA 32 COMUNIDADES DE LA ZONA RURAL DEL MUNICIPIO DE TIMANA EN EL
DEPARTAMENTO DEL HUILA</t>
    </r>
  </si>
  <si>
    <t>Huila</t>
  </si>
  <si>
    <t>Timaná</t>
  </si>
  <si>
    <t>DESARROLLO Y SUMINISTRO DE ENERGIA CON SISTEMAS SOLARES FOTOVOLTAICOS EN VEREDAS SIN SERVICIO DE ELECTRICIDAD EN EL MUNICIPIO DE ARIGUANI DEPARTAMENTO DEL MAGDALENA</t>
  </si>
  <si>
    <t>Ariguaní</t>
  </si>
  <si>
    <t>SUMINISTRO DE ELECTRICIDAD A 200 FAMILIAS CON SISTEMAS DE ENERGIA SOLAR FOTOVOLTAICA EN ZONAS RURALES SIN CONEXIÓN ELECTRICA DEL MUNICIPIO DE CARMEN</t>
  </si>
  <si>
    <t>Bolivar</t>
  </si>
  <si>
    <t>El Carmen</t>
  </si>
  <si>
    <t>DESARROLLO Y SUMINISTRO DE ENERGIA CON SISTEMAS SOLARES FOTOVOLTAICOS EN LA ZONA RURAL DISPERSA SIN SERVICIO DE ELECTRICIDAD EN EL MUNICIPIO DE PIOJO DEPARTAMENTO DEL ATLANTICO</t>
  </si>
  <si>
    <t>Atlantico</t>
  </si>
  <si>
    <t>Piojo</t>
  </si>
  <si>
    <r>
      <rPr>
        <sz val="10"/>
        <rFont val="Arial"/>
        <family val="2"/>
      </rPr>
      <t>CONSTRUCCION DE LOS SISTEMAS DE ENERGIA SOLAR FOTOVOLTAICA PARA 23 COMUNIDADES DE LA ZONA RURAL DEL MUNICIPIO DE PAILITAS EN EL
DEPARTAMENTO DEL CESAR</t>
    </r>
  </si>
  <si>
    <t>Pailitas</t>
  </si>
  <si>
    <t>SUMINISTRO ELECTRICIDAD CON SISTEMAS DE ENERGIA SOLAR FOTOVOLTAICA EN ZONAS RURALES DEL MUNICIPIO DE EL ZULIA, NORTE DE SANTANDER</t>
  </si>
  <si>
    <t>Norte de Santander</t>
  </si>
  <si>
    <t>El Zulia</t>
  </si>
  <si>
    <t>Construcción de Energía Solar Fotovoltaica en los Corregimientos de San José de Oriente, La Bodega, Guaimaral, Los Encantos Municipio de La Paz - Cesar</t>
  </si>
  <si>
    <t>La Paz</t>
  </si>
  <si>
    <t>DISEÑO Y SUMINISTRO DE ELECTRICIDAD CON SISTEMAS SOLARES FOTOVOLTAICOS EN ZONAS RURALES SIN CONEXIÓN ELECTRICA AL "SIN" EN EL MUNICIPIO DE PONEDERA - ATLANTICO</t>
  </si>
  <si>
    <t>Atlántico</t>
  </si>
  <si>
    <t>Ponedera</t>
  </si>
  <si>
    <t>DISEÑO Y DOTACION DE ENERGIA SOLAR FOTOVOLTAICA EN VEREDAS SIN CONEXIÓN AL SISTEMA INTERCONECTADO NACIONAL EN EL MUNICIPIO DE SAN JACINTO DEPARTAMENTO DE BOLIVAR</t>
  </si>
  <si>
    <t>San Jacinto</t>
  </si>
  <si>
    <t>ENERGIZACION CON SISTEMAS DE ENERGIA SOLAR FOTOVOLTAICA EN VEREDAS CARENTES DEL SERVICIO DE ELECTRICIDAD EN EL MUNICIPIO DE SAN JUAN DE NEPOMUCENO - BOLIVAR</t>
  </si>
  <si>
    <t>Nepomuceno</t>
  </si>
  <si>
    <t>SUMINISTRO DE ELECTRICIDAD CON SISTEMAS AUTONOMOS DE ENERGIA SOLAR FOTOVOLTAICA EN VEREDAS DEL MUNICIPIO DE SAN JUAN DEL CESAR - GUAJIRA</t>
  </si>
  <si>
    <t>San Juan del Cesar</t>
  </si>
  <si>
    <t>CONSTRUCCIÓN DE LOS SISTEMAS FOTOVOLTAICOS PARA LA ZONA RURAL DEL MUNICIPIO DE TRINIDAD DEPARTAMENTO DEL CASANARE</t>
  </si>
  <si>
    <t>Casanare</t>
  </si>
  <si>
    <t>Trinidad</t>
  </si>
  <si>
    <t>CONSTRUCCIÓN DE LOS SISTEMAS FOTOVOLTAICOS PARA LA ZONA RURAL DEL MUNICIPIO DE TAMARA DEPARTAMENTO DEL CASANARE</t>
  </si>
  <si>
    <t>Tamara</t>
  </si>
  <si>
    <t>CONSTRUCCIÓN DE LOS SISTEMAS FOTOVOLTAICOS PARA LA ZONA RURAL DEL MUNICIPIO DE PORE DEPARTAMENTO DEL CASANARE</t>
  </si>
  <si>
    <t>Pore</t>
  </si>
  <si>
    <t>Construcción de 400 Sistemas Fotovoltaicos para los Barrios Montebello, Los Libertadores y Ciudad Universitario Zona Urbana del Municipio de Saravena Departamento de Arauca</t>
  </si>
  <si>
    <t>Arauca</t>
  </si>
  <si>
    <t>Saravena</t>
  </si>
  <si>
    <t>CONSTRUCCIÓN DE LOS SISTEMAS FOTOVOLTAICOS PARA LA ZONA RURAL DEL MUNICIPIO CUBARÁ DEPARTAMENTO DE BOYACÁ</t>
  </si>
  <si>
    <t>CONSTRUCCIÓN SISTEMA FOTOVOLTAICO PARA LA ZONA RURAL DEL MUNICIPIO  DE LA SALINA DEPARTAMENTO DEL CASANARE</t>
  </si>
  <si>
    <t>La Salina</t>
  </si>
  <si>
    <t>CONSTRUCCION Y SUMINISTRO DE ENERGIA SOLAR FOTOVOLTAICA EN ZONA RURAL DEL MUNICIPIO DE ALTOS DEL ROSARIO - BOLIVAR</t>
  </si>
  <si>
    <t>Altos del Rosario</t>
  </si>
  <si>
    <t>CONSTRUCCION Y SUMINISTRO DE ENERGIA SOLAR FOTOVOLTAICA EN ZONA RURAL DEL MUNICIPIO DE BARRANCO DE LOBA - BOLIVAR</t>
  </si>
  <si>
    <t>Baranco de Loba</t>
  </si>
  <si>
    <t>MPLEMENTACION  DE 400  (CUATROCIENTAS) HECTAREAS DE ÑAME EN EL MUNICIPIO DE TURBO</t>
  </si>
  <si>
    <t>CONSTRUCCION Y DOTACION DE ENERGIA SOLAR FOTOVOLTAICA A 100 USUARIOS EN EL MUNICIPIO DE CHIMICHAGUA DEPARTAMENTO DEL CESAR</t>
  </si>
  <si>
    <t>Chimichagua</t>
  </si>
  <si>
    <t>CONSTRUCCION Y SUMINISTRO DE ELECTRICIDAD A 100 FAMILIAS MEDIANTE SISTEMAS DE ENERGIA SOLAR FOTOVOLTAICA EN EL MUNICIPIO DE SAN MARTIN DE LOBA - BOLIVAR</t>
  </si>
  <si>
    <t>San Martin de Loba</t>
  </si>
  <si>
    <t>DISEÑO, MONTAJE Y PUESTA EN MARCHA DE PLANTAS DE PROCESO DE TRANSFORMACIÓN DE NARANJA Y MANGO EN TODAS SUS VARIEDADES EN EL MUNICIPIO DE CHIMICHAGUA – CESAR</t>
  </si>
  <si>
    <t>IMPLEMENTACION PRODUCCIÓN DE TILAPIA ROJA MOJARRA ROJA EN MUNICIPIOS DE EL ZULIA Y CUCUTA, DEPARTAMENTO NORTE DE SANTANDER</t>
  </si>
  <si>
    <t>Cucuta</t>
  </si>
  <si>
    <t>Implantación Proyecto Agricultura Orgánica y Agroindustria en Seguridad Alimentaria para Pequeños Agricultores en el Municipio de San Juan de Rioseco, Cundinamarca</t>
  </si>
  <si>
    <t>San Juan de Rio Seco</t>
  </si>
  <si>
    <t>Beltrán</t>
  </si>
  <si>
    <t>DESARROLLO DE CRIA, PRODUCCION Y COMERCIALIZACION DE CARNEROS EN EL MUNICIPIO DE CANALETE - CORODOBA</t>
  </si>
  <si>
    <t>Corodoba</t>
  </si>
  <si>
    <t>Canalete</t>
  </si>
  <si>
    <t>Implementación y establecimiento de 500 hectáreas de Cacao con 250 pequeños productores campesinos, como Estrategia de Desarrollo Socioeconómico en el Municipio de Moñitos-Cordoba</t>
  </si>
  <si>
    <t>Moñitos</t>
  </si>
  <si>
    <t>Implementación de 400 hectáreas de ñame espino con 200 pequeños productores campesinos victimas, como estrategia de desarrollo económico en el Municipio de Chigorodó-Antioquia</t>
  </si>
  <si>
    <t>Chigirodó</t>
  </si>
  <si>
    <t>Implementación y establecimiento de 600 hectáreas de Cacao con 300 pequeños productores campesinos, como Estrategia de Desarrollo Socioeconómico en el Municipio de Necoclí- Antioquia</t>
  </si>
  <si>
    <t>Necoclí</t>
  </si>
  <si>
    <t>Implementación y Establecimiento de 400 Hectáreas de Cacao con 200 Pequeños Productores Campesinos, como Estrategia de Desarrollo Socioeconómico en el Municipio de Turbo - Antioquia</t>
  </si>
  <si>
    <t>IMPLEMENTACIÓN DE ACCIONES PARA LA RESTAURACIÓN Y MANEJO INTEGRAL DE LA CIÉNAGA DE MORROCOY EN EL MUNICIPIO DE ARENAL - BOLIVAR</t>
  </si>
  <si>
    <t>Arenal</t>
  </si>
  <si>
    <t>REFORESTACIÓN PROTECTORA CON ESPECIES NATIVAS PARA PROTEGER Y CONSERVAR LAS FUENTES HIDIRCA EN EL MUNICIPIO DE LA GLORIA, DEPARTAMENTO DEL CESAR.</t>
  </si>
  <si>
    <t>La Gloria</t>
  </si>
  <si>
    <t>Construcción de 6 Kms de Placa Huella en la Vías rurales del Municipio de Heliconia Departamento de Antioquia</t>
  </si>
  <si>
    <t>Heliconia</t>
  </si>
  <si>
    <t>Construcción de 4 Kms de Placa Huella en Zona rural del Municipio de Peque Departamento de Antioquia</t>
  </si>
  <si>
    <t>Construcción de 10 Kms de Pavimento en Placa Huella en Zona Rural del Municipio de Ebejico Departamento de Antioquia</t>
  </si>
  <si>
    <t>Construcción de 2 KM de Placa Huella en Zona Rural del Municipio de Sopetran Departamento de Antioquia</t>
  </si>
  <si>
    <t>Sopetran</t>
  </si>
  <si>
    <t>:Implementación de 400 hectáreas de Ñame Espino con 200 pequeños productores de la corporacion de mujeres colibri-CONAMUCOL, como Estrategia de Desarrollo Socioeconómico en el Municipio de Nuevo Belén de Bajirá-Chocó</t>
  </si>
  <si>
    <t>Chocó</t>
  </si>
  <si>
    <t>Belen de Bajairá</t>
  </si>
  <si>
    <t>OPTIMIZACION DE LA PLANTA DE TRATAMIENTO DE AGUAS RESIDUALES EL SANTUARIO DEL MUNICIPIO DE PIEDECUESTA – SANTANDER</t>
  </si>
  <si>
    <t>Construcción de 4,8 Kms Pavimento Placa Rigido en la Vereda de Aguas Negras del Municipio de Montería - Córdoba</t>
  </si>
  <si>
    <t>Construcción de 10.6 Kms de Pavimento Rigido/Placa Huella en Zona Rural del Municipio de Galeras, Departamento de Sucre</t>
  </si>
  <si>
    <t>Suministro y Capacitación de Kits Infantil y Escolar a Instituciones y Centros Educativos del Municipio de Piedecuesta en el Departamento de Santander</t>
  </si>
  <si>
    <t>Suministro y Capacitación de Kits Infantil y Escolar a Instituciones y Centros Educativos del Municipio de Ebejico en el Departamento de Antioquia</t>
  </si>
  <si>
    <t>Suministro y Capacitación de Kits Infantil y Escolar a Instituciones y Centros Educativos del Municipio de Peque en el Departamento de Antioquia</t>
  </si>
  <si>
    <t>Suministro y Capacitación de Kits Infantil y Escolar a Instituciones y Centros Educativos del Municipio de San Carlos en el Departamento de Antioquia</t>
  </si>
  <si>
    <t>San carlos</t>
  </si>
  <si>
    <t>Suministro y Capacitación de Kits Infantil y Escolar a Instituciones y Centros Educativos del Municipio de Caldas en el Departamento de Antioquia</t>
  </si>
  <si>
    <t>Implementación de 400 hectáreas de ñame espino con 200 pequeños productores campesinos para su desarrollo económico y Social en el Municipio de Mutatá - Antioquia.</t>
  </si>
  <si>
    <t>Mutatá</t>
  </si>
  <si>
    <t>Implementación de Tecnologías Digitales para el Acceso a las Tic y Aprender en Instituciones Educativas Publicas del Municipio de Galeras Departamento de Sucre</t>
  </si>
  <si>
    <t>$6,733,860,500</t>
  </si>
  <si>
    <t>Implementación de 400 Hectáreas de Ñame Espino con 200 Pequeños Productores Campesinos para su Desarrollo Económico y Social en el Municipio de Galeras - Sucre.</t>
  </si>
  <si>
    <t>AMPLIACIÓN, MEJORAMIENTO Y OPTIMIZACIÓN DE SISTEMA DE ACUEDUCTO DEL MUNICIPIO DE GALERAS SUCRE</t>
  </si>
  <si>
    <t>CONSTRUCCION  DE ROMPEOLAS EN EL MUNICIPIO DE TURBO DEPARTAMENTO DE ANTIOQUIA</t>
  </si>
  <si>
    <t>Establecimiento y mantenimiento de 500 hectáreas de plantaciones forestales, para la Recuperación, protección, conservación de los bosques y sus Ecosistemas asociados, en el Municipio de Mutatá-departamento de Antioquia</t>
  </si>
  <si>
    <t>CONSTRUCCION  DE ROMPEOLAS EN LA CABECERA MUNICIPAL DEL MUNICIPIO DE NECOCLI- DEPARTAMENTO DE ANTIOQUIA</t>
  </si>
  <si>
    <t>Ampliación y Mejoramiento de infraestructura Física y Eduactiva en Colegios y Escuelas del Municipio Monteria Departamento de Córdoba</t>
  </si>
  <si>
    <t>Restauraciones y Mejomiento de Infraestructura Física y Eduactiva y Didactica en Colegios y Escuelas del Municipio Puerto Escondido Departamento de Córdoba</t>
  </si>
  <si>
    <t>Puerto Escondido</t>
  </si>
  <si>
    <t>IMPLEMENTACIÓN DE ESTRATEGIAS AMBIENTALES PARA LA RECUPERACIÓN, CONSERVACION Y PROTECCION DE CUENCAS, MICROCUENCAS HIDRICAS, FLORA NATIVA Y FAUNA EN EL MUNICIPIO DE PUERTO ESCONDIDO - CORDOBA</t>
  </si>
  <si>
    <t>EJECUTAR LOS ESTUDIOS , DISEÑOS Y ACTIVIDADES DE CONSTRUCCION Y/O ADECUACIÓN DE LOS ACUEDUCTOS VEREDALES EN LAS VEREDAS EL POLO, LLANITO, PESCADERO, LIMONAL - FALTRIQUERAS Y UMPALA DEL MUNICIPIO DE PIEDECUESTA - SANTANDER</t>
  </si>
  <si>
    <t>Construcción de 25 Kms en Pavimento Rigido de 4.000 lbs de la Vía Corregimiento Cristo Rey, Puerto Escondido a Ralito y San Pelayo</t>
  </si>
  <si>
    <t>Puerto Escindido</t>
  </si>
  <si>
    <t>Implementación de un Proyecto Productivo con Comunidades Campesinas Mediante la Explotación Porcina y  Pisicola Enfocadas al Cultivo, Desarrollo y Comercialización de Especies Porsinas y Acuáticas, Usando Energía Solar en el Corregimiento de Leticia Córdoba.</t>
  </si>
  <si>
    <t>Desarrollo de Programas de Salud para la Promoción y Prevención del Riesgo Cardiovascular, Metabólico y Nutricional en los Municipios de Puerto Colombia, Luruaco, Tubará, Campo de la Cruz, Candelaria, Usiacuri y Barranquila en el Departamento del Atlántico</t>
  </si>
  <si>
    <t>Puerto Colombia, Luruaco, Tubará, Campo de la Cruz, Candelaria, Usiacuri y Barranquila</t>
  </si>
  <si>
    <t>REHABILITACIÓN ECOLÓGICA DE BOSQUES DE PROTECCIÓN EN LAS MICROCUENCAS EL PIRÚ Y LA JUI EN LOS MUNICIPIOS DE VALENCIA Y TIERRALTA CÓRDOBA</t>
  </si>
  <si>
    <t>Valencia - Tierralta</t>
  </si>
  <si>
    <t>Construcción del Parque Santa Fé con Capacidad de 150 MW en el Municipio de Maicao, Departamento de la Guajira</t>
  </si>
  <si>
    <t>Guajira</t>
  </si>
  <si>
    <t>Maicao</t>
  </si>
  <si>
    <t>DESARROLLAR Y CONTRATAR LOS ESTUDIOS Y DISEÑOS PARA LA OPTIMIZACIÓN DEL ACUEDUCTO POR GRAVEDAD DEL CASCO URBANO DEL MUNICIPIO DE CHAPARRAL - TOLIMA</t>
  </si>
  <si>
    <t>TOLIMA</t>
  </si>
  <si>
    <t>CHAPARRAL</t>
  </si>
  <si>
    <t>REALIZAR ESTUDIOS, DISEÑOS  Y MEJORAMIENTO DEL POLIDEPORTIVO DE LA VEREDA CHICALA EN EL MUNICIPIO DE PIEDRAS – DEPARTAMENTO DE TOLIMA</t>
  </si>
  <si>
    <t>Tolima</t>
  </si>
  <si>
    <t>Piedras</t>
  </si>
  <si>
    <t>Implementación de una Granja Integral Autosostenible Agroecologica en la Vereda Guayanas, Municipio de Floridablanca, Santander</t>
  </si>
  <si>
    <t>Floridablanca</t>
  </si>
  <si>
    <t>CONSTRUCCION FASE II PLAZA DE MERCADO DARÍO ECHANDÍA DEL MUNICIPIO DE CHAPARRAL, TOLIMA</t>
  </si>
  <si>
    <t>Chaparral</t>
  </si>
  <si>
    <t xml:space="preserve">TOTAL $  </t>
  </si>
  <si>
    <t>Minas y Energía</t>
  </si>
  <si>
    <t>Educación</t>
  </si>
  <si>
    <t>Agricultura y Desarrollo Rural</t>
  </si>
  <si>
    <t>Medio Ambiente y Desarrollo Sostenible</t>
  </si>
  <si>
    <t>Salud y Protección Social</t>
  </si>
  <si>
    <t>Vivienda, Agua y Saneamiento</t>
  </si>
  <si>
    <t>Transporte e Infraestructura Vial</t>
  </si>
  <si>
    <t>Deporte y Recreación</t>
  </si>
  <si>
    <t>Comercio e Infraestructura Productiva</t>
  </si>
  <si>
    <t>METODOLOGÍA DE CLASIFICACIÓN Y ESTIMACIÓN DE BENEFICIARIOS</t>
  </si>
  <si>
    <t>Las cifras son beneficiarios directos cuando el nombre del proyecto indica cantidades. En los demás casos son beneficiarios potenciales calculados con proyecciones oficiales DANE 2026 según el alcance: población total, cabecera, zona rural o grupo de edad. Deben validarse con la focalización definitiva y los estudios de prefactibilidad.</t>
  </si>
  <si>
    <t>Sector asignado</t>
  </si>
  <si>
    <t>Personas beneficiadas</t>
  </si>
  <si>
    <t>Criterio aplicado</t>
  </si>
  <si>
    <t>Tipo de cifra</t>
  </si>
  <si>
    <t>Fuente</t>
  </si>
  <si>
    <t>Población proyectada de centros poblados y rural disperso del área geográfica del proyecto.</t>
  </si>
  <si>
    <t>Proyección DANE por área</t>
  </si>
  <si>
    <t>https://www.dane.gov.co/files/censo2018/proyecciones-de-poblacion/Municipal/PPED-AreaMun-2018-2042_VP.xlsx</t>
  </si>
  <si>
    <t>Población proyectada de 5 a 17 años del municipio, usada como proxy de población escolar.</t>
  </si>
  <si>
    <t>Proyección DANE por edad</t>
  </si>
  <si>
    <t>https://www.dane.gov.co/files/censo2018/proyecciones-de-poblacion/Municipal/PPED-AreaSexoEdadMun-2018-2042_VP.xlsx</t>
  </si>
  <si>
    <t>800 hectáreas ÷ 2 hectáreas por productor, relación observada en proyectos equivalentes del mismo archivo.</t>
  </si>
  <si>
    <t>Estimación por relación interna</t>
  </si>
  <si>
    <t>Criterio interno del archivo: proyectos 71, 72, 73 y 74.</t>
  </si>
  <si>
    <t>Población total proyectada del municipio o municipios vinculados, como población beneficiaria potencial territorial.</t>
  </si>
  <si>
    <t>Cantidad ya consignada en el archivo original.</t>
  </si>
  <si>
    <t>Dato explícito</t>
  </si>
  <si>
    <t>Archivo original.</t>
  </si>
  <si>
    <t>Población proyectada de 10 a 29 años, usada como proxy de adolescentes y jóvenes priorizados en prevención de consumo.</t>
  </si>
  <si>
    <t>Población total municipal proyectada; el proyecto plantea acciones amplias de bienestar mental, emocional y social.</t>
  </si>
  <si>
    <t>Población proyectada de la cabecera municipal, acorde con el alcance urbano o del casco municipal.</t>
  </si>
  <si>
    <t>30 familias explícitas × 3,1 personas por hogar (promedio DANE CNPV 2018).</t>
  </si>
  <si>
    <t>Dato explícito convertido a personas</t>
  </si>
  <si>
    <t>https://www.dane.gov.co/files/censo2018/informacion-tecnica/cnpv-2018-boletin-tecnico-1ra-entrega.pdf</t>
  </si>
  <si>
    <t>50 pequeños ganaderos explícitos en el nombre del proyecto.</t>
  </si>
  <si>
    <t>Nombre del proyecto.</t>
  </si>
  <si>
    <t>40 piscicultores explícitos en el nombre del proyecto.</t>
  </si>
  <si>
    <t>200 familias explícitas × 3,1 personas por hogar (promedio DANE CNPV 2018).</t>
  </si>
  <si>
    <t>400 sistemas fotovoltaicos tratados como 400 hogares × 3,1 personas por hogar.</t>
  </si>
  <si>
    <t>400 hectáreas ÷ 2 hectáreas por productor, relación observada en proyectos equivalentes del mismo archivo.</t>
  </si>
  <si>
    <t>100 usuarios explícitos; se mantiene la cifra directa sin convertirla a hogares.</t>
  </si>
  <si>
    <t>100 familias explícitas × 3,1 personas por hogar (promedio DANE CNPV 2018).</t>
  </si>
  <si>
    <t>250 pequeños productores explícitos en el nombre del proyecto.</t>
  </si>
  <si>
    <t>200 pequeños productores explícitos en el nombre del proyecto.</t>
  </si>
  <si>
    <t>300 pequeños productores explícitos en el nombre del proyecto.</t>
  </si>
  <si>
    <t>Población proyectada de 3 a 17 años del municipio, usada como proxy de población infantil y escolar.</t>
  </si>
  <si>
    <t>Suma de la población de 18 años o más en los siete municipios incluidos, como proxy de población objetivo adulta.</t>
  </si>
  <si>
    <t>Reforestación con Especies Nativas Protectoras en Zonas Afectadas por la Deforestación y mal uso del Suelo en Diversos Municipios del Territorio Nacional de Colombia</t>
  </si>
  <si>
    <t>BENEFICIADOS</t>
  </si>
  <si>
    <t>IMPLEMENTACIÓN DE UNA GRANJA INTEGRAL AUTOSOSTENIBLE AGROECOLÓGICA CON MADRES CABEZA FAMILIA EN LA VEREDA GUAYANAS, MUNICIPIO DE FLORIDABLANCA, SANTANDER</t>
  </si>
  <si>
    <t>RELACIÓN DE PROYECTOS ACTIVADOS EN LA CORPORACION PROTECTORA VERDE</t>
  </si>
  <si>
    <t>DESARROLLO E IMPLEMENTACION DE LA RUTA 3 LA SALUD, EL ARTE, LA CULTURA Y EL TURISMO POR COLOMBIA</t>
  </si>
  <si>
    <t>Salud y Protección Social, Turismo, Cultura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</si>
</sst>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7" x14ac:knownFonts="1">
    <font>
      <sz val="10"/>
      <color rgb="FF000000"/>
      <name val="Times New Roman"/>
    </font>
    <font>
      <sz val="9"/>
      <color rgb="FF000000"/>
      <name val="Arial"/>
    </font>
    <font>
      <sz val="10"/>
      <color rgb="FF000000"/>
      <name val="Arial"/>
    </font>
    <font>
      <sz val="10"/>
      <name val="Arial"/>
    </font>
    <font>
      <sz val="10"/>
      <name val="Arial Narrow"/>
    </font>
    <font>
      <sz val="10"/>
      <color theme="1"/>
      <name val="Arial"/>
    </font>
    <font>
      <sz val="10"/>
      <color rgb="FF000000"/>
      <name val="Times New Roman"/>
    </font>
    <font>
      <b/>
      <sz val="14"/>
      <name val="Arial"/>
    </font>
    <font>
      <b/>
      <sz val="11"/>
      <color rgb="FF000000"/>
      <name val="Arial"/>
    </font>
    <font>
      <b/>
      <sz val="14"/>
      <color rgb="FFFFFFFF"/>
      <name val="Times New Roman"/>
    </font>
    <font>
      <i/>
      <sz val="10"/>
      <color rgb="FF1F2937"/>
      <name val="Times New Roman"/>
    </font>
    <font>
      <b/>
      <sz val="10"/>
      <color rgb="FFFFFFFF"/>
      <name val="Times New Roman"/>
    </font>
    <font>
      <sz val="10"/>
      <name val="Arial"/>
      <family val="2"/>
    </font>
    <font>
      <b/>
      <sz val="11"/>
      <name val="Arial"/>
      <family val="2"/>
    </font>
    <font>
      <b/>
      <sz val="14"/>
      <name val="Arial"/>
      <family val="2"/>
    </font>
    <font>
      <sz val="11"/>
      <color rgb="FF000000"/>
      <name val="Calibri"/>
      <family val="2"/>
    </font>
    <font>
      <sz val="10"/>
      <color theme="1"/>
      <name val="Arial"/>
      <family val="2"/>
    </font>
  </fonts>
  <fills count="9">
    <fill>
      <patternFill patternType="none"/>
    </fill>
    <fill>
      <patternFill patternType="gray125"/>
    </fill>
    <fill>
      <patternFill patternType="solid">
        <fgColor theme="0"/>
      </patternFill>
    </fill>
    <fill>
      <patternFill patternType="solid">
        <fgColor theme="6" tint="-0.249977111117893"/>
        <bgColor indexed="65"/>
      </patternFill>
    </fill>
    <fill>
      <patternFill patternType="solid">
        <fgColor theme="3" tint="0.39997558519241921"/>
        <bgColor indexed="65"/>
      </patternFill>
    </fill>
    <fill>
      <patternFill patternType="solid">
        <fgColor rgb="FF5B9BD5"/>
      </patternFill>
    </fill>
    <fill>
      <patternFill patternType="solid">
        <fgColor rgb="FFD9EAF7"/>
      </patternFill>
    </fill>
    <fill>
      <patternFill patternType="solid">
        <fgColor rgb="FF24330F"/>
      </patternFill>
    </fill>
    <fill>
      <patternFill patternType="solid">
        <fgColor theme="6"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bottom/>
      <diagonal/>
    </border>
  </borders>
  <cellStyleXfs count="3">
    <xf numFmtId="0" fontId="0" fillId="0" borderId="0"/>
    <xf numFmtId="43" fontId="6" fillId="0" borderId="0" applyFont="0" applyFill="0" applyBorder="0" applyAlignment="0" applyProtection="0"/>
    <xf numFmtId="0" fontId="3" fillId="0" borderId="0"/>
  </cellStyleXfs>
  <cellXfs count="129">
    <xf numFmtId="0" fontId="0" fillId="0" borderId="0" xfId="0" applyFill="1" applyBorder="1" applyAlignment="1">
      <alignment horizontal="left" vertical="top"/>
    </xf>
    <xf numFmtId="0" fontId="1" fillId="0" borderId="0" xfId="0" applyFont="1" applyFill="1" applyBorder="1" applyAlignment="1">
      <alignment horizontal="left" vertical="top"/>
    </xf>
    <xf numFmtId="0" fontId="3" fillId="0" borderId="1" xfId="0" applyFont="1" applyFill="1" applyBorder="1" applyAlignment="1">
      <alignment horizontal="left" vertical="center" wrapText="1"/>
    </xf>
    <xf numFmtId="0" fontId="3" fillId="0"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5" fillId="0" borderId="1" xfId="0" applyFont="1" applyBorder="1" applyAlignment="1">
      <alignment vertical="center" wrapText="1"/>
    </xf>
    <xf numFmtId="1" fontId="2" fillId="0" borderId="1" xfId="0" applyNumberFormat="1" applyFont="1" applyBorder="1" applyAlignment="1">
      <alignment horizontal="left" vertical="center" wrapText="1"/>
    </xf>
    <xf numFmtId="0" fontId="5" fillId="3" borderId="1" xfId="0" applyFont="1" applyFill="1" applyBorder="1" applyAlignment="1">
      <alignment vertical="center" wrapText="1"/>
    </xf>
    <xf numFmtId="1" fontId="2" fillId="3" borderId="1" xfId="0" applyNumberFormat="1" applyFont="1" applyFill="1" applyBorder="1" applyAlignment="1">
      <alignment horizontal="left" vertical="center" wrapText="1"/>
    </xf>
    <xf numFmtId="0" fontId="3" fillId="3" borderId="1" xfId="0" applyFont="1" applyFill="1" applyBorder="1" applyAlignment="1">
      <alignment horizontal="left" vertical="top" wrapText="1"/>
    </xf>
    <xf numFmtId="0" fontId="3" fillId="3" borderId="2" xfId="0" applyFont="1" applyFill="1" applyBorder="1" applyAlignment="1">
      <alignment horizontal="left" vertical="center" wrapText="1"/>
    </xf>
    <xf numFmtId="0" fontId="3" fillId="3" borderId="1" xfId="0" applyFont="1" applyFill="1" applyBorder="1" applyAlignment="1">
      <alignment horizontal="left" vertical="center" wrapText="1"/>
    </xf>
    <xf numFmtId="3" fontId="1" fillId="0" borderId="0" xfId="0" applyNumberFormat="1" applyFont="1" applyFill="1" applyBorder="1" applyAlignment="1">
      <alignment horizontal="center" vertical="center"/>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1" fontId="2" fillId="0" borderId="1" xfId="0" applyNumberFormat="1" applyFont="1" applyBorder="1" applyAlignment="1">
      <alignment horizontal="center" vertical="center" wrapText="1"/>
    </xf>
    <xf numFmtId="0" fontId="3" fillId="3"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0" xfId="0" applyFont="1" applyFill="1" applyBorder="1" applyAlignment="1">
      <alignment horizontal="center" vertical="center"/>
    </xf>
    <xf numFmtId="0" fontId="3" fillId="0" borderId="3"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3" xfId="0" applyFont="1" applyFill="1" applyBorder="1" applyAlignment="1">
      <alignment horizontal="center" vertical="center" wrapText="1"/>
    </xf>
    <xf numFmtId="1" fontId="2" fillId="0" borderId="7" xfId="0" applyNumberFormat="1" applyFont="1" applyFill="1" applyBorder="1" applyAlignment="1">
      <alignment horizontal="center" vertical="center"/>
    </xf>
    <xf numFmtId="3" fontId="2" fillId="0" borderId="8" xfId="0" applyNumberFormat="1" applyFont="1" applyFill="1" applyBorder="1" applyAlignment="1">
      <alignment horizontal="center" vertical="center"/>
    </xf>
    <xf numFmtId="1" fontId="2" fillId="3" borderId="7" xfId="0" applyNumberFormat="1" applyFont="1" applyFill="1" applyBorder="1" applyAlignment="1">
      <alignment horizontal="center" vertical="center"/>
    </xf>
    <xf numFmtId="3" fontId="3" fillId="3" borderId="8" xfId="0" applyNumberFormat="1" applyFont="1" applyFill="1" applyBorder="1" applyAlignment="1">
      <alignment horizontal="center" vertical="center" wrapText="1"/>
    </xf>
    <xf numFmtId="3" fontId="3" fillId="0" borderId="8" xfId="0" applyNumberFormat="1" applyFont="1" applyFill="1" applyBorder="1" applyAlignment="1">
      <alignment horizontal="center" vertical="center" wrapText="1"/>
    </xf>
    <xf numFmtId="3" fontId="3" fillId="0" borderId="8" xfId="0" applyNumberFormat="1" applyFont="1" applyBorder="1" applyAlignment="1">
      <alignment horizontal="center" vertical="center" wrapText="1"/>
    </xf>
    <xf numFmtId="3" fontId="2" fillId="0" borderId="8" xfId="0" applyNumberFormat="1" applyFont="1" applyBorder="1" applyAlignment="1">
      <alignment horizontal="center" vertical="center"/>
    </xf>
    <xf numFmtId="3" fontId="2" fillId="3" borderId="8" xfId="0" applyNumberFormat="1" applyFont="1" applyFill="1" applyBorder="1" applyAlignment="1">
      <alignment horizontal="center" vertical="center"/>
    </xf>
    <xf numFmtId="3" fontId="3" fillId="3" borderId="8" xfId="0" applyNumberFormat="1" applyFont="1" applyFill="1" applyBorder="1" applyAlignment="1">
      <alignment horizontal="center" vertical="center"/>
    </xf>
    <xf numFmtId="3" fontId="3" fillId="2" borderId="8" xfId="0" applyNumberFormat="1" applyFont="1" applyFill="1" applyBorder="1" applyAlignment="1">
      <alignment horizontal="center" vertical="center"/>
    </xf>
    <xf numFmtId="3" fontId="2" fillId="0" borderId="8" xfId="0" applyNumberFormat="1" applyFont="1" applyBorder="1" applyAlignment="1">
      <alignment horizontal="center" vertical="center" wrapText="1"/>
    </xf>
    <xf numFmtId="3" fontId="2" fillId="3" borderId="8" xfId="0" applyNumberFormat="1" applyFont="1" applyFill="1" applyBorder="1" applyAlignment="1">
      <alignment horizontal="center" vertical="center" wrapText="1"/>
    </xf>
    <xf numFmtId="3" fontId="2" fillId="3" borderId="8" xfId="0" applyNumberFormat="1" applyFont="1" applyFill="1" applyBorder="1" applyAlignment="1">
      <alignment horizontal="center" vertical="center"/>
    </xf>
    <xf numFmtId="3" fontId="2" fillId="0" borderId="8" xfId="0" applyNumberFormat="1" applyFont="1" applyFill="1" applyBorder="1" applyAlignment="1">
      <alignment horizontal="center" vertical="center"/>
    </xf>
    <xf numFmtId="3" fontId="2" fillId="0" borderId="9" xfId="0" applyNumberFormat="1" applyFont="1" applyFill="1" applyBorder="1" applyAlignment="1">
      <alignment horizontal="center" vertical="center"/>
    </xf>
    <xf numFmtId="3" fontId="3" fillId="3" borderId="8" xfId="1" applyNumberFormat="1" applyFont="1" applyFill="1" applyBorder="1" applyAlignment="1">
      <alignment horizontal="center" vertical="center" wrapText="1"/>
    </xf>
    <xf numFmtId="3" fontId="2" fillId="0" borderId="6" xfId="0" applyNumberFormat="1" applyFont="1" applyFill="1" applyBorder="1" applyAlignment="1">
      <alignment horizontal="center" vertical="center"/>
    </xf>
    <xf numFmtId="3" fontId="4" fillId="0" borderId="8" xfId="0" applyNumberFormat="1" applyFont="1" applyBorder="1" applyAlignment="1">
      <alignment horizontal="center" vertical="center"/>
    </xf>
    <xf numFmtId="3" fontId="4" fillId="3" borderId="8" xfId="0" applyNumberFormat="1" applyFont="1" applyFill="1" applyBorder="1" applyAlignment="1">
      <alignment horizontal="center" vertical="center"/>
    </xf>
    <xf numFmtId="3" fontId="5" fillId="3" borderId="8" xfId="0" applyNumberFormat="1" applyFont="1" applyFill="1" applyBorder="1" applyAlignment="1">
      <alignment horizontal="center" vertical="center"/>
    </xf>
    <xf numFmtId="3" fontId="5" fillId="0" borderId="8" xfId="0" applyNumberFormat="1" applyFont="1" applyBorder="1" applyAlignment="1">
      <alignment horizontal="center" vertical="center"/>
    </xf>
    <xf numFmtId="1" fontId="2" fillId="0" borderId="10" xfId="0" applyNumberFormat="1" applyFont="1" applyFill="1" applyBorder="1" applyAlignment="1">
      <alignment horizontal="center" vertical="center"/>
    </xf>
    <xf numFmtId="1" fontId="2" fillId="3" borderId="10" xfId="0" applyNumberFormat="1" applyFont="1" applyFill="1" applyBorder="1" applyAlignment="1">
      <alignment horizontal="center" vertical="center"/>
    </xf>
    <xf numFmtId="3" fontId="2" fillId="3" borderId="9" xfId="0" applyNumberFormat="1" applyFont="1" applyFill="1" applyBorder="1" applyAlignment="1">
      <alignment horizontal="center" vertical="center"/>
    </xf>
    <xf numFmtId="0" fontId="5" fillId="3" borderId="3" xfId="0" applyFont="1" applyFill="1" applyBorder="1" applyAlignment="1">
      <alignment vertical="center" wrapText="1"/>
    </xf>
    <xf numFmtId="0" fontId="5" fillId="3" borderId="3" xfId="0" applyFont="1" applyFill="1" applyBorder="1" applyAlignment="1">
      <alignment horizontal="center" vertical="center" wrapText="1"/>
    </xf>
    <xf numFmtId="3" fontId="3" fillId="3" borderId="9" xfId="0" applyNumberFormat="1" applyFont="1" applyFill="1" applyBorder="1" applyAlignment="1">
      <alignment horizontal="center" vertical="center"/>
    </xf>
    <xf numFmtId="0" fontId="5" fillId="0" borderId="3" xfId="0" applyFont="1" applyFill="1" applyBorder="1" applyAlignment="1">
      <alignment vertical="center" wrapText="1"/>
    </xf>
    <xf numFmtId="0" fontId="5" fillId="0" borderId="3" xfId="0" applyFont="1" applyFill="1" applyBorder="1" applyAlignment="1">
      <alignment horizontal="center" vertical="center" wrapText="1"/>
    </xf>
    <xf numFmtId="3" fontId="3" fillId="0" borderId="9" xfId="0" applyNumberFormat="1" applyFont="1" applyFill="1" applyBorder="1" applyAlignment="1">
      <alignment horizontal="center" vertical="center"/>
    </xf>
    <xf numFmtId="1" fontId="3" fillId="0" borderId="10" xfId="0" applyNumberFormat="1" applyFont="1" applyFill="1" applyBorder="1" applyAlignment="1">
      <alignment horizontal="center" vertical="center"/>
    </xf>
    <xf numFmtId="1" fontId="2" fillId="0" borderId="1" xfId="0" applyNumberFormat="1" applyFont="1" applyFill="1" applyBorder="1" applyAlignment="1">
      <alignment horizontal="center" vertical="center"/>
    </xf>
    <xf numFmtId="3" fontId="2" fillId="0" borderId="1" xfId="0" applyNumberFormat="1" applyFont="1" applyFill="1" applyBorder="1" applyAlignment="1">
      <alignment horizontal="center" vertical="center"/>
    </xf>
    <xf numFmtId="1" fontId="2" fillId="3" borderId="1" xfId="0" applyNumberFormat="1" applyFont="1" applyFill="1" applyBorder="1" applyAlignment="1">
      <alignment horizontal="center" vertical="center"/>
    </xf>
    <xf numFmtId="3" fontId="3" fillId="3" borderId="1" xfId="0" applyNumberFormat="1" applyFont="1" applyFill="1" applyBorder="1" applyAlignment="1">
      <alignment horizontal="center" vertical="center"/>
    </xf>
    <xf numFmtId="3" fontId="3" fillId="0" borderId="1" xfId="0" applyNumberFormat="1" applyFont="1" applyFill="1" applyBorder="1" applyAlignment="1">
      <alignment horizontal="center" vertical="center"/>
    </xf>
    <xf numFmtId="3" fontId="1" fillId="0" borderId="0" xfId="0" applyNumberFormat="1" applyFont="1" applyFill="1" applyBorder="1" applyAlignment="1">
      <alignment horizontal="left" vertical="top"/>
    </xf>
    <xf numFmtId="0" fontId="7" fillId="4" borderId="17" xfId="0" applyFont="1" applyFill="1" applyBorder="1" applyAlignment="1">
      <alignment vertical="center" wrapText="1"/>
    </xf>
    <xf numFmtId="3" fontId="8" fillId="4" borderId="14" xfId="0" applyNumberFormat="1" applyFont="1" applyFill="1" applyBorder="1" applyAlignment="1">
      <alignment horizontal="center" vertical="center"/>
    </xf>
    <xf numFmtId="0" fontId="8" fillId="4" borderId="12" xfId="0" applyFont="1" applyFill="1" applyBorder="1" applyAlignment="1">
      <alignment horizontal="right" vertical="center"/>
    </xf>
    <xf numFmtId="1" fontId="2" fillId="3"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3" borderId="2"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0" fontId="3" fillId="3"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0" fontId="3" fillId="0" borderId="19" xfId="0" applyNumberFormat="1" applyFont="1" applyFill="1" applyBorder="1" applyAlignment="1">
      <alignment horizontal="center" vertical="center" wrapText="1"/>
    </xf>
    <xf numFmtId="0" fontId="3" fillId="0" borderId="18"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3" borderId="19" xfId="0" applyNumberFormat="1" applyFont="1" applyFill="1" applyBorder="1" applyAlignment="1">
      <alignment horizontal="center" vertical="center" wrapText="1"/>
    </xf>
    <xf numFmtId="0" fontId="5" fillId="0" borderId="19" xfId="0" applyNumberFormat="1" applyFont="1" applyFill="1" applyBorder="1" applyAlignment="1">
      <alignment horizontal="center" vertical="center" wrapText="1"/>
    </xf>
    <xf numFmtId="0" fontId="5" fillId="3" borderId="19"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3" fontId="5" fillId="0" borderId="2" xfId="0" applyNumberFormat="1" applyFont="1" applyFill="1" applyBorder="1" applyAlignment="1">
      <alignment horizontal="center" vertical="center" wrapText="1"/>
    </xf>
    <xf numFmtId="3" fontId="5" fillId="3" borderId="2" xfId="0" applyNumberFormat="1" applyFont="1" applyFill="1" applyBorder="1" applyAlignment="1">
      <alignment horizontal="center" vertical="center" wrapText="1"/>
    </xf>
    <xf numFmtId="3" fontId="2" fillId="3" borderId="2" xfId="0" applyNumberFormat="1" applyFont="1" applyFill="1" applyBorder="1" applyAlignment="1">
      <alignment horizontal="center" vertical="center" wrapText="1"/>
    </xf>
    <xf numFmtId="3" fontId="2" fillId="0" borderId="2" xfId="0" applyNumberFormat="1" applyFont="1" applyFill="1" applyBorder="1" applyAlignment="1">
      <alignment horizontal="center" vertical="center" wrapText="1"/>
    </xf>
    <xf numFmtId="3" fontId="3" fillId="3" borderId="2" xfId="0" applyNumberFormat="1" applyFont="1" applyFill="1" applyBorder="1" applyAlignment="1">
      <alignment horizontal="center" vertical="center" wrapText="1"/>
    </xf>
    <xf numFmtId="3" fontId="3" fillId="0" borderId="2" xfId="0" applyNumberFormat="1" applyFont="1" applyFill="1" applyBorder="1" applyAlignment="1">
      <alignment horizontal="center" vertical="center" wrapText="1"/>
    </xf>
    <xf numFmtId="3" fontId="3" fillId="0" borderId="19" xfId="0" applyNumberFormat="1" applyFont="1" applyFill="1" applyBorder="1" applyAlignment="1">
      <alignment horizontal="center" vertical="center" wrapText="1"/>
    </xf>
    <xf numFmtId="3" fontId="3" fillId="0" borderId="18" xfId="0" applyNumberFormat="1" applyFont="1" applyFill="1" applyBorder="1" applyAlignment="1">
      <alignment horizontal="center" vertical="center" wrapText="1"/>
    </xf>
    <xf numFmtId="3" fontId="3" fillId="3" borderId="19" xfId="0" applyNumberFormat="1" applyFont="1" applyFill="1" applyBorder="1" applyAlignment="1">
      <alignment horizontal="center" vertical="center" wrapText="1"/>
    </xf>
    <xf numFmtId="3" fontId="5" fillId="0" borderId="19" xfId="0" applyNumberFormat="1" applyFont="1" applyFill="1" applyBorder="1" applyAlignment="1">
      <alignment horizontal="center" vertical="center" wrapText="1"/>
    </xf>
    <xf numFmtId="3" fontId="5" fillId="3" borderId="19" xfId="0" applyNumberFormat="1" applyFont="1" applyFill="1" applyBorder="1" applyAlignment="1">
      <alignment horizontal="center" vertical="center" wrapText="1"/>
    </xf>
    <xf numFmtId="3" fontId="3" fillId="0" borderId="1" xfId="0" applyNumberFormat="1"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3" fontId="5" fillId="0" borderId="1" xfId="0" applyNumberFormat="1" applyFont="1" applyFill="1" applyBorder="1" applyAlignment="1">
      <alignment horizontal="center" vertical="center" wrapText="1"/>
    </xf>
    <xf numFmtId="0" fontId="11" fillId="7" borderId="0" xfId="0" applyNumberFormat="1" applyFont="1" applyFill="1" applyBorder="1" applyAlignment="1">
      <alignment horizontal="center" vertical="center" wrapText="1"/>
    </xf>
    <xf numFmtId="0" fontId="0" fillId="0" borderId="0" xfId="0" applyNumberFormat="1" applyFont="1" applyFill="1" applyBorder="1" applyAlignment="1">
      <alignment horizontal="left" vertical="top" wrapText="1"/>
    </xf>
    <xf numFmtId="0" fontId="0" fillId="0" borderId="0" xfId="0" applyNumberFormat="1" applyFont="1" applyFill="1" applyBorder="1" applyAlignment="1">
      <alignment horizontal="center" vertical="top" wrapText="1"/>
    </xf>
    <xf numFmtId="3" fontId="0" fillId="0" borderId="0" xfId="0" applyNumberFormat="1" applyFont="1" applyFill="1" applyBorder="1" applyAlignment="1">
      <alignment horizontal="center" vertical="top" wrapText="1"/>
    </xf>
    <xf numFmtId="3" fontId="12" fillId="0" borderId="8" xfId="0" applyNumberFormat="1" applyFont="1" applyBorder="1" applyAlignment="1">
      <alignment horizontal="center" vertical="center"/>
    </xf>
    <xf numFmtId="0" fontId="13" fillId="3" borderId="5"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18" xfId="0" applyFont="1" applyFill="1" applyBorder="1" applyAlignment="1">
      <alignment horizontal="center" vertical="center" wrapText="1"/>
    </xf>
    <xf numFmtId="3" fontId="13" fillId="3" borderId="18" xfId="0" applyNumberFormat="1" applyFont="1" applyFill="1" applyBorder="1" applyAlignment="1">
      <alignment horizontal="center" vertical="center" wrapText="1"/>
    </xf>
    <xf numFmtId="3" fontId="13" fillId="3" borderId="6" xfId="0" applyNumberFormat="1" applyFont="1" applyFill="1" applyBorder="1" applyAlignment="1">
      <alignment horizontal="center" vertical="center" wrapText="1"/>
    </xf>
    <xf numFmtId="3" fontId="15" fillId="0" borderId="0" xfId="0" applyNumberFormat="1" applyFont="1" applyFill="1" applyBorder="1" applyAlignment="1">
      <alignment horizontal="center" vertical="center" wrapText="1"/>
    </xf>
    <xf numFmtId="0" fontId="16" fillId="0" borderId="1" xfId="0" applyFont="1" applyFill="1" applyBorder="1" applyAlignment="1">
      <alignment vertical="center" wrapText="1"/>
    </xf>
    <xf numFmtId="0" fontId="16" fillId="0" borderId="1" xfId="0" applyFont="1" applyFill="1" applyBorder="1" applyAlignment="1">
      <alignment horizontal="center" vertical="center" wrapText="1"/>
    </xf>
    <xf numFmtId="0" fontId="15" fillId="0" borderId="0" xfId="0" applyFont="1" applyFill="1" applyBorder="1" applyAlignment="1">
      <alignment horizontal="left" vertical="center" wrapText="1"/>
    </xf>
    <xf numFmtId="0" fontId="8" fillId="4" borderId="11" xfId="0" applyFont="1" applyFill="1" applyBorder="1" applyAlignment="1">
      <alignment horizontal="right" vertical="center"/>
    </xf>
    <xf numFmtId="0" fontId="8" fillId="4" borderId="12" xfId="0" applyFont="1" applyFill="1" applyBorder="1" applyAlignment="1">
      <alignment horizontal="right" vertical="center"/>
    </xf>
    <xf numFmtId="0" fontId="8" fillId="4" borderId="13" xfId="0" applyFont="1" applyFill="1" applyBorder="1" applyAlignment="1">
      <alignment horizontal="right" vertical="center"/>
    </xf>
    <xf numFmtId="0" fontId="14" fillId="4" borderId="15" xfId="0" applyFont="1" applyFill="1" applyBorder="1" applyAlignment="1">
      <alignment horizontal="center" vertical="center" wrapText="1"/>
    </xf>
    <xf numFmtId="0" fontId="14" fillId="4" borderId="16" xfId="0" applyFont="1" applyFill="1" applyBorder="1" applyAlignment="1">
      <alignment horizontal="center" vertical="center" wrapText="1"/>
    </xf>
    <xf numFmtId="3" fontId="1" fillId="0" borderId="20" xfId="0" applyNumberFormat="1" applyFont="1" applyFill="1" applyBorder="1" applyAlignment="1">
      <alignment horizontal="left" vertical="top" wrapText="1"/>
    </xf>
    <xf numFmtId="3" fontId="1" fillId="0" borderId="0" xfId="0" applyNumberFormat="1" applyFont="1" applyFill="1" applyBorder="1" applyAlignment="1">
      <alignment horizontal="left" vertical="top" wrapText="1"/>
    </xf>
    <xf numFmtId="0" fontId="1" fillId="0" borderId="20" xfId="0" applyFont="1" applyFill="1" applyBorder="1" applyAlignment="1">
      <alignment horizontal="left" vertical="top" wrapText="1"/>
    </xf>
    <xf numFmtId="0" fontId="1" fillId="0" borderId="0" xfId="0" applyFont="1" applyFill="1" applyBorder="1" applyAlignment="1">
      <alignment horizontal="left" vertical="top" wrapText="1"/>
    </xf>
    <xf numFmtId="0" fontId="9" fillId="5" borderId="0" xfId="0" applyNumberFormat="1" applyFont="1" applyFill="1" applyBorder="1" applyAlignment="1">
      <alignment horizontal="center" vertical="center"/>
    </xf>
    <xf numFmtId="0" fontId="10" fillId="6" borderId="0" xfId="0" applyNumberFormat="1" applyFont="1" applyFill="1" applyBorder="1" applyAlignment="1">
      <alignment horizontal="left" vertical="center" wrapText="1"/>
    </xf>
    <xf numFmtId="1" fontId="2" fillId="8" borderId="1" xfId="0" applyNumberFormat="1" applyFont="1" applyFill="1" applyBorder="1" applyAlignment="1">
      <alignment horizontal="center" vertical="center"/>
    </xf>
    <xf numFmtId="0" fontId="16" fillId="8" borderId="1" xfId="0" applyFont="1" applyFill="1" applyBorder="1" applyAlignment="1">
      <alignment vertical="center" wrapText="1"/>
    </xf>
    <xf numFmtId="0" fontId="16" fillId="8" borderId="1" xfId="0" applyFont="1" applyFill="1" applyBorder="1" applyAlignment="1">
      <alignment horizontal="center" vertical="center" wrapText="1"/>
    </xf>
    <xf numFmtId="0" fontId="5" fillId="8" borderId="1" xfId="0" applyNumberFormat="1" applyFont="1" applyFill="1" applyBorder="1" applyAlignment="1">
      <alignment horizontal="center" vertical="center" wrapText="1"/>
    </xf>
    <xf numFmtId="3" fontId="5" fillId="8" borderId="1" xfId="0" applyNumberFormat="1" applyFont="1" applyFill="1" applyBorder="1" applyAlignment="1">
      <alignment horizontal="center" vertical="center" wrapText="1"/>
    </xf>
    <xf numFmtId="3" fontId="3" fillId="8" borderId="1" xfId="0" applyNumberFormat="1" applyFont="1" applyFill="1" applyBorder="1" applyAlignment="1">
      <alignment horizontal="center" vertical="center"/>
    </xf>
  </cellXfs>
  <cellStyles count="3">
    <cellStyle name="Millares" xfId="1" xr:uid="{00000000-0005-0000-0000-000000000000}"/>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457200</xdr:colOff>
      <xdr:row>0</xdr:row>
      <xdr:rowOff>0</xdr:rowOff>
    </xdr:from>
    <xdr:to>
      <xdr:col>6</xdr:col>
      <xdr:colOff>1304925</xdr:colOff>
      <xdr:row>0</xdr:row>
      <xdr:rowOff>723899</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610475" y="0"/>
          <a:ext cx="847725" cy="723899"/>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4"/>
  <sheetViews>
    <sheetView tabSelected="1" topLeftCell="A111" workbookViewId="0">
      <selection activeCell="I114" sqref="I114"/>
    </sheetView>
  </sheetViews>
  <sheetFormatPr baseColWidth="10" defaultColWidth="9.33203125" defaultRowHeight="12" x14ac:dyDescent="0.2"/>
  <cols>
    <col min="1" max="1" width="5.5" style="1" customWidth="1"/>
    <col min="2" max="2" width="56.83203125" style="1" customWidth="1"/>
    <col min="3" max="3" width="13.33203125" style="25" customWidth="1"/>
    <col min="4" max="4" width="17.5" style="25" customWidth="1"/>
    <col min="5" max="5" width="18.1640625" style="25" customWidth="1"/>
    <col min="6" max="6" width="13.83203125" style="12" customWidth="1"/>
    <col min="7" max="7" width="23.1640625" style="12" customWidth="1"/>
    <col min="8" max="8" width="9.33203125" style="1" customWidth="1"/>
    <col min="9" max="9" width="17.83203125" style="65" customWidth="1"/>
    <col min="10" max="16384" width="9.33203125" style="1"/>
  </cols>
  <sheetData>
    <row r="1" spans="1:12" ht="57" customHeight="1" thickBot="1" x14ac:dyDescent="0.25">
      <c r="A1" s="115" t="s">
        <v>275</v>
      </c>
      <c r="B1" s="116"/>
      <c r="C1" s="116"/>
      <c r="D1" s="116"/>
      <c r="E1" s="116"/>
      <c r="F1" s="116"/>
      <c r="G1" s="66"/>
    </row>
    <row r="2" spans="1:12" ht="31.5" customHeight="1" x14ac:dyDescent="0.2">
      <c r="A2" s="103" t="s">
        <v>0</v>
      </c>
      <c r="B2" s="104" t="s">
        <v>1</v>
      </c>
      <c r="C2" s="104" t="s">
        <v>2</v>
      </c>
      <c r="D2" s="104" t="s">
        <v>3</v>
      </c>
      <c r="E2" s="105" t="s">
        <v>4</v>
      </c>
      <c r="F2" s="106" t="s">
        <v>273</v>
      </c>
      <c r="G2" s="107" t="s">
        <v>5</v>
      </c>
    </row>
    <row r="3" spans="1:12" ht="38.25" x14ac:dyDescent="0.2">
      <c r="A3" s="29">
        <v>1</v>
      </c>
      <c r="B3" s="21" t="s">
        <v>6</v>
      </c>
      <c r="C3" s="22" t="s">
        <v>7</v>
      </c>
      <c r="D3" s="22" t="s">
        <v>8</v>
      </c>
      <c r="E3" s="70" t="s">
        <v>224</v>
      </c>
      <c r="F3" s="84">
        <v>1600</v>
      </c>
      <c r="G3" s="30">
        <v>40342350000</v>
      </c>
    </row>
    <row r="4" spans="1:12" ht="51" x14ac:dyDescent="0.2">
      <c r="A4" s="31">
        <f t="shared" ref="A4:A12" si="0">+A3+1</f>
        <v>2</v>
      </c>
      <c r="B4" s="7" t="s">
        <v>9</v>
      </c>
      <c r="C4" s="14" t="s">
        <v>10</v>
      </c>
      <c r="D4" s="14" t="s">
        <v>11</v>
      </c>
      <c r="E4" s="71" t="s">
        <v>225</v>
      </c>
      <c r="F4" s="85">
        <v>2125</v>
      </c>
      <c r="G4" s="32">
        <v>6686910156.1692057</v>
      </c>
    </row>
    <row r="5" spans="1:12" ht="51" x14ac:dyDescent="0.2">
      <c r="A5" s="29">
        <f t="shared" si="0"/>
        <v>3</v>
      </c>
      <c r="B5" s="21" t="s">
        <v>12</v>
      </c>
      <c r="C5" s="22" t="s">
        <v>13</v>
      </c>
      <c r="D5" s="22" t="s">
        <v>14</v>
      </c>
      <c r="E5" s="70" t="s">
        <v>226</v>
      </c>
      <c r="F5" s="84">
        <v>600</v>
      </c>
      <c r="G5" s="33">
        <v>24022080000</v>
      </c>
    </row>
    <row r="6" spans="1:12" ht="25.5" x14ac:dyDescent="0.2">
      <c r="A6" s="31">
        <f t="shared" si="0"/>
        <v>4</v>
      </c>
      <c r="B6" s="7" t="s">
        <v>15</v>
      </c>
      <c r="C6" s="14" t="s">
        <v>16</v>
      </c>
      <c r="D6" s="14" t="s">
        <v>17</v>
      </c>
      <c r="E6" s="71" t="s">
        <v>224</v>
      </c>
      <c r="F6" s="85">
        <v>712</v>
      </c>
      <c r="G6" s="32">
        <v>3750000000</v>
      </c>
    </row>
    <row r="7" spans="1:12" ht="51" x14ac:dyDescent="0.2">
      <c r="A7" s="29">
        <f t="shared" si="0"/>
        <v>5</v>
      </c>
      <c r="B7" s="5" t="s">
        <v>18</v>
      </c>
      <c r="C7" s="13" t="s">
        <v>19</v>
      </c>
      <c r="D7" s="13" t="s">
        <v>8</v>
      </c>
      <c r="E7" s="70" t="s">
        <v>226</v>
      </c>
      <c r="F7" s="84">
        <v>500</v>
      </c>
      <c r="G7" s="34">
        <v>2824000000</v>
      </c>
    </row>
    <row r="8" spans="1:12" ht="38.25" x14ac:dyDescent="0.2">
      <c r="A8" s="31">
        <f t="shared" si="0"/>
        <v>6</v>
      </c>
      <c r="B8" s="7" t="s">
        <v>20</v>
      </c>
      <c r="C8" s="14" t="s">
        <v>19</v>
      </c>
      <c r="D8" s="14" t="s">
        <v>8</v>
      </c>
      <c r="E8" s="71" t="s">
        <v>224</v>
      </c>
      <c r="F8" s="85">
        <v>610</v>
      </c>
      <c r="G8" s="32">
        <v>1657200000</v>
      </c>
    </row>
    <row r="9" spans="1:12" ht="51" x14ac:dyDescent="0.2">
      <c r="A9" s="29">
        <f t="shared" si="0"/>
        <v>7</v>
      </c>
      <c r="B9" s="5" t="s">
        <v>21</v>
      </c>
      <c r="C9" s="13" t="s">
        <v>10</v>
      </c>
      <c r="D9" s="13" t="s">
        <v>22</v>
      </c>
      <c r="E9" s="70" t="s">
        <v>225</v>
      </c>
      <c r="F9" s="84">
        <v>910</v>
      </c>
      <c r="G9" s="35">
        <v>7880762657.2944431</v>
      </c>
    </row>
    <row r="10" spans="1:12" ht="51" x14ac:dyDescent="0.2">
      <c r="A10" s="31">
        <f t="shared" si="0"/>
        <v>8</v>
      </c>
      <c r="B10" s="7" t="s">
        <v>272</v>
      </c>
      <c r="C10" s="14" t="s">
        <v>23</v>
      </c>
      <c r="D10" s="14" t="s">
        <v>23</v>
      </c>
      <c r="E10" s="71" t="s">
        <v>227</v>
      </c>
      <c r="F10" s="85">
        <v>14100</v>
      </c>
      <c r="G10" s="36">
        <v>98700450780</v>
      </c>
      <c r="H10" s="117"/>
      <c r="I10" s="118"/>
      <c r="J10" s="118"/>
      <c r="K10" s="118"/>
      <c r="L10" s="118"/>
    </row>
    <row r="11" spans="1:12" ht="45" customHeight="1" x14ac:dyDescent="0.2">
      <c r="A11" s="29">
        <f t="shared" si="0"/>
        <v>9</v>
      </c>
      <c r="B11" s="5" t="s">
        <v>24</v>
      </c>
      <c r="C11" s="13" t="s">
        <v>10</v>
      </c>
      <c r="D11" s="13" t="s">
        <v>25</v>
      </c>
      <c r="E11" s="70" t="s">
        <v>225</v>
      </c>
      <c r="F11" s="84">
        <v>1200</v>
      </c>
      <c r="G11" s="34">
        <v>6820610654.2799997</v>
      </c>
      <c r="H11" s="119"/>
      <c r="I11" s="120"/>
      <c r="J11" s="120"/>
      <c r="K11" s="120"/>
      <c r="L11" s="120"/>
    </row>
    <row r="12" spans="1:12" ht="51" x14ac:dyDescent="0.2">
      <c r="A12" s="31">
        <f t="shared" si="0"/>
        <v>10</v>
      </c>
      <c r="B12" s="7" t="s">
        <v>26</v>
      </c>
      <c r="C12" s="14" t="s">
        <v>10</v>
      </c>
      <c r="D12" s="14" t="s">
        <v>27</v>
      </c>
      <c r="E12" s="71" t="s">
        <v>225</v>
      </c>
      <c r="F12" s="85">
        <v>402</v>
      </c>
      <c r="G12" s="37" t="s">
        <v>28</v>
      </c>
    </row>
    <row r="13" spans="1:12" ht="42" customHeight="1" x14ac:dyDescent="0.2">
      <c r="A13" s="29">
        <f t="shared" ref="A13:A77" si="1">+A12+1</f>
        <v>11</v>
      </c>
      <c r="B13" s="5" t="s">
        <v>29</v>
      </c>
      <c r="C13" s="13" t="s">
        <v>13</v>
      </c>
      <c r="D13" s="13" t="s">
        <v>30</v>
      </c>
      <c r="E13" s="70" t="s">
        <v>225</v>
      </c>
      <c r="F13" s="84">
        <v>1144</v>
      </c>
      <c r="G13" s="38" t="s">
        <v>31</v>
      </c>
    </row>
    <row r="14" spans="1:12" ht="37.5" customHeight="1" x14ac:dyDescent="0.2">
      <c r="A14" s="31">
        <f t="shared" si="1"/>
        <v>12</v>
      </c>
      <c r="B14" s="7" t="s">
        <v>32</v>
      </c>
      <c r="C14" s="14" t="s">
        <v>13</v>
      </c>
      <c r="D14" s="14" t="s">
        <v>33</v>
      </c>
      <c r="E14" s="71" t="s">
        <v>225</v>
      </c>
      <c r="F14" s="85">
        <v>2080</v>
      </c>
      <c r="G14" s="37" t="s">
        <v>34</v>
      </c>
    </row>
    <row r="15" spans="1:12" ht="45" customHeight="1" x14ac:dyDescent="0.2">
      <c r="A15" s="29">
        <f t="shared" si="1"/>
        <v>13</v>
      </c>
      <c r="B15" s="5" t="s">
        <v>35</v>
      </c>
      <c r="C15" s="13" t="s">
        <v>13</v>
      </c>
      <c r="D15" s="13" t="s">
        <v>36</v>
      </c>
      <c r="E15" s="70" t="s">
        <v>225</v>
      </c>
      <c r="F15" s="84">
        <v>980</v>
      </c>
      <c r="G15" s="38" t="s">
        <v>37</v>
      </c>
    </row>
    <row r="16" spans="1:12" ht="41.25" customHeight="1" x14ac:dyDescent="0.2">
      <c r="A16" s="31">
        <f t="shared" si="1"/>
        <v>14</v>
      </c>
      <c r="B16" s="7" t="s">
        <v>38</v>
      </c>
      <c r="C16" s="14" t="s">
        <v>39</v>
      </c>
      <c r="D16" s="14" t="s">
        <v>40</v>
      </c>
      <c r="E16" s="71" t="s">
        <v>225</v>
      </c>
      <c r="F16" s="85">
        <v>1144</v>
      </c>
      <c r="G16" s="37" t="s">
        <v>41</v>
      </c>
    </row>
    <row r="17" spans="1:7" ht="41.25" customHeight="1" x14ac:dyDescent="0.2">
      <c r="A17" s="29">
        <f t="shared" si="1"/>
        <v>15</v>
      </c>
      <c r="B17" s="5" t="s">
        <v>42</v>
      </c>
      <c r="C17" s="13" t="s">
        <v>43</v>
      </c>
      <c r="D17" s="13" t="s">
        <v>44</v>
      </c>
      <c r="E17" s="70" t="s">
        <v>225</v>
      </c>
      <c r="F17" s="84">
        <v>1884</v>
      </c>
      <c r="G17" s="39">
        <v>7890567241</v>
      </c>
    </row>
    <row r="18" spans="1:7" ht="41.25" customHeight="1" x14ac:dyDescent="0.2">
      <c r="A18" s="31">
        <f t="shared" si="1"/>
        <v>16</v>
      </c>
      <c r="B18" s="7" t="s">
        <v>45</v>
      </c>
      <c r="C18" s="14" t="s">
        <v>46</v>
      </c>
      <c r="D18" s="14" t="s">
        <v>47</v>
      </c>
      <c r="E18" s="71" t="s">
        <v>225</v>
      </c>
      <c r="F18" s="85">
        <v>1598</v>
      </c>
      <c r="G18" s="40">
        <v>7757244933</v>
      </c>
    </row>
    <row r="19" spans="1:7" ht="51" x14ac:dyDescent="0.2">
      <c r="A19" s="29">
        <f t="shared" si="1"/>
        <v>17</v>
      </c>
      <c r="B19" s="5" t="s">
        <v>48</v>
      </c>
      <c r="C19" s="13" t="s">
        <v>49</v>
      </c>
      <c r="D19" s="13" t="s">
        <v>39</v>
      </c>
      <c r="E19" s="70" t="s">
        <v>228</v>
      </c>
      <c r="F19" s="84">
        <v>1210</v>
      </c>
      <c r="G19" s="34">
        <v>4672200000</v>
      </c>
    </row>
    <row r="20" spans="1:7" ht="51" x14ac:dyDescent="0.2">
      <c r="A20" s="31">
        <f t="shared" si="1"/>
        <v>18</v>
      </c>
      <c r="B20" s="8" t="s">
        <v>50</v>
      </c>
      <c r="C20" s="15" t="s">
        <v>13</v>
      </c>
      <c r="D20" s="15" t="s">
        <v>51</v>
      </c>
      <c r="E20" s="69" t="s">
        <v>228</v>
      </c>
      <c r="F20" s="86">
        <v>1344</v>
      </c>
      <c r="G20" s="32">
        <v>4111250000</v>
      </c>
    </row>
    <row r="21" spans="1:7" ht="51" x14ac:dyDescent="0.2">
      <c r="A21" s="29">
        <f t="shared" si="1"/>
        <v>19</v>
      </c>
      <c r="B21" s="6" t="s">
        <v>52</v>
      </c>
      <c r="C21" s="16" t="s">
        <v>46</v>
      </c>
      <c r="D21" s="16" t="s">
        <v>47</v>
      </c>
      <c r="E21" s="72" t="s">
        <v>228</v>
      </c>
      <c r="F21" s="87">
        <v>1407</v>
      </c>
      <c r="G21" s="39">
        <v>2236400000</v>
      </c>
    </row>
    <row r="22" spans="1:7" ht="63.75" x14ac:dyDescent="0.2">
      <c r="A22" s="31">
        <f t="shared" si="1"/>
        <v>20</v>
      </c>
      <c r="B22" s="8" t="s">
        <v>53</v>
      </c>
      <c r="C22" s="15" t="s">
        <v>13</v>
      </c>
      <c r="D22" s="15" t="s">
        <v>54</v>
      </c>
      <c r="E22" s="69" t="s">
        <v>228</v>
      </c>
      <c r="F22" s="86">
        <v>620</v>
      </c>
      <c r="G22" s="37">
        <v>3994750000</v>
      </c>
    </row>
    <row r="23" spans="1:7" ht="76.5" x14ac:dyDescent="0.2">
      <c r="A23" s="29">
        <f t="shared" si="1"/>
        <v>21</v>
      </c>
      <c r="B23" s="6" t="s">
        <v>55</v>
      </c>
      <c r="C23" s="16" t="s">
        <v>13</v>
      </c>
      <c r="D23" s="16" t="s">
        <v>56</v>
      </c>
      <c r="E23" s="72" t="s">
        <v>228</v>
      </c>
      <c r="F23" s="87">
        <v>1238</v>
      </c>
      <c r="G23" s="35">
        <v>3504600000</v>
      </c>
    </row>
    <row r="24" spans="1:7" ht="51" x14ac:dyDescent="0.2">
      <c r="A24" s="31">
        <f t="shared" si="1"/>
        <v>22</v>
      </c>
      <c r="B24" s="8" t="s">
        <v>57</v>
      </c>
      <c r="C24" s="15" t="s">
        <v>13</v>
      </c>
      <c r="D24" s="15" t="s">
        <v>58</v>
      </c>
      <c r="E24" s="69" t="s">
        <v>228</v>
      </c>
      <c r="F24" s="86">
        <v>1042</v>
      </c>
      <c r="G24" s="36">
        <v>2491950000</v>
      </c>
    </row>
    <row r="25" spans="1:7" ht="63.75" x14ac:dyDescent="0.2">
      <c r="A25" s="29">
        <f t="shared" si="1"/>
        <v>23</v>
      </c>
      <c r="B25" s="6" t="s">
        <v>59</v>
      </c>
      <c r="C25" s="16" t="s">
        <v>13</v>
      </c>
      <c r="D25" s="16" t="s">
        <v>33</v>
      </c>
      <c r="E25" s="72" t="s">
        <v>228</v>
      </c>
      <c r="F25" s="87">
        <v>854</v>
      </c>
      <c r="G25" s="34">
        <v>2285250000</v>
      </c>
    </row>
    <row r="26" spans="1:7" ht="76.5" x14ac:dyDescent="0.2">
      <c r="A26" s="31">
        <f t="shared" si="1"/>
        <v>24</v>
      </c>
      <c r="B26" s="8" t="s">
        <v>60</v>
      </c>
      <c r="C26" s="15" t="s">
        <v>13</v>
      </c>
      <c r="D26" s="15" t="s">
        <v>61</v>
      </c>
      <c r="E26" s="69" t="s">
        <v>228</v>
      </c>
      <c r="F26" s="86">
        <v>1240</v>
      </c>
      <c r="G26" s="40">
        <v>3588500000</v>
      </c>
    </row>
    <row r="27" spans="1:7" ht="63.75" x14ac:dyDescent="0.2">
      <c r="A27" s="29">
        <f t="shared" si="1"/>
        <v>25</v>
      </c>
      <c r="B27" s="6" t="s">
        <v>62</v>
      </c>
      <c r="C27" s="16" t="s">
        <v>13</v>
      </c>
      <c r="D27" s="16" t="s">
        <v>30</v>
      </c>
      <c r="E27" s="72" t="s">
        <v>228</v>
      </c>
      <c r="F27" s="87">
        <v>835</v>
      </c>
      <c r="G27" s="39">
        <v>2518936000</v>
      </c>
    </row>
    <row r="28" spans="1:7" ht="63.75" x14ac:dyDescent="0.2">
      <c r="A28" s="31">
        <f t="shared" si="1"/>
        <v>26</v>
      </c>
      <c r="B28" s="8" t="s">
        <v>63</v>
      </c>
      <c r="C28" s="15" t="s">
        <v>13</v>
      </c>
      <c r="D28" s="15" t="s">
        <v>36</v>
      </c>
      <c r="E28" s="69" t="s">
        <v>228</v>
      </c>
      <c r="F28" s="86">
        <v>768</v>
      </c>
      <c r="G28" s="40">
        <v>3726324000</v>
      </c>
    </row>
    <row r="29" spans="1:7" ht="38.25" x14ac:dyDescent="0.2">
      <c r="A29" s="29">
        <f t="shared" si="1"/>
        <v>27</v>
      </c>
      <c r="B29" s="6" t="s">
        <v>64</v>
      </c>
      <c r="C29" s="16" t="s">
        <v>10</v>
      </c>
      <c r="D29" s="16" t="s">
        <v>65</v>
      </c>
      <c r="E29" s="72" t="s">
        <v>226</v>
      </c>
      <c r="F29" s="87">
        <v>622</v>
      </c>
      <c r="G29" s="39">
        <v>616667800</v>
      </c>
    </row>
    <row r="30" spans="1:7" ht="38.25" x14ac:dyDescent="0.2">
      <c r="A30" s="31">
        <f t="shared" si="1"/>
        <v>28</v>
      </c>
      <c r="B30" s="8" t="s">
        <v>66</v>
      </c>
      <c r="C30" s="15" t="s">
        <v>67</v>
      </c>
      <c r="D30" s="15" t="s">
        <v>68</v>
      </c>
      <c r="E30" s="69" t="s">
        <v>227</v>
      </c>
      <c r="F30" s="86">
        <v>18257</v>
      </c>
      <c r="G30" s="40">
        <v>47241687632</v>
      </c>
    </row>
    <row r="31" spans="1:7" ht="63.75" x14ac:dyDescent="0.2">
      <c r="A31" s="29">
        <f t="shared" si="1"/>
        <v>29</v>
      </c>
      <c r="B31" s="6" t="s">
        <v>69</v>
      </c>
      <c r="C31" s="16" t="s">
        <v>7</v>
      </c>
      <c r="D31" s="16" t="s">
        <v>70</v>
      </c>
      <c r="E31" s="72" t="s">
        <v>226</v>
      </c>
      <c r="F31" s="87">
        <v>530</v>
      </c>
      <c r="G31" s="39">
        <v>726843770</v>
      </c>
    </row>
    <row r="32" spans="1:7" ht="63.75" x14ac:dyDescent="0.2">
      <c r="A32" s="31">
        <f t="shared" si="1"/>
        <v>30</v>
      </c>
      <c r="B32" s="9" t="s">
        <v>71</v>
      </c>
      <c r="C32" s="19" t="s">
        <v>46</v>
      </c>
      <c r="D32" s="19" t="s">
        <v>72</v>
      </c>
      <c r="E32" s="73" t="s">
        <v>226</v>
      </c>
      <c r="F32" s="88">
        <v>1035</v>
      </c>
      <c r="G32" s="41">
        <v>2147807300</v>
      </c>
    </row>
    <row r="33" spans="1:7" ht="38.25" x14ac:dyDescent="0.2">
      <c r="A33" s="29">
        <f t="shared" si="1"/>
        <v>31</v>
      </c>
      <c r="B33" s="3" t="s">
        <v>73</v>
      </c>
      <c r="C33" s="20" t="s">
        <v>10</v>
      </c>
      <c r="D33" s="20" t="s">
        <v>74</v>
      </c>
      <c r="E33" s="74" t="s">
        <v>226</v>
      </c>
      <c r="F33" s="89">
        <v>831</v>
      </c>
      <c r="G33" s="42">
        <v>2692875642</v>
      </c>
    </row>
    <row r="34" spans="1:7" ht="63.75" x14ac:dyDescent="0.2">
      <c r="A34" s="31">
        <f t="shared" si="1"/>
        <v>32</v>
      </c>
      <c r="B34" s="9" t="s">
        <v>75</v>
      </c>
      <c r="C34" s="19" t="s">
        <v>76</v>
      </c>
      <c r="D34" s="19" t="s">
        <v>77</v>
      </c>
      <c r="E34" s="73" t="s">
        <v>226</v>
      </c>
      <c r="F34" s="88">
        <v>410</v>
      </c>
      <c r="G34" s="41">
        <v>2392926500</v>
      </c>
    </row>
    <row r="35" spans="1:7" ht="76.5" x14ac:dyDescent="0.2">
      <c r="A35" s="29">
        <f t="shared" si="1"/>
        <v>33</v>
      </c>
      <c r="B35" s="2" t="s">
        <v>78</v>
      </c>
      <c r="C35" s="23" t="s">
        <v>79</v>
      </c>
      <c r="D35" s="23" t="s">
        <v>80</v>
      </c>
      <c r="E35" s="75" t="s">
        <v>224</v>
      </c>
      <c r="F35" s="90">
        <v>406</v>
      </c>
      <c r="G35" s="43">
        <v>4278000000</v>
      </c>
    </row>
    <row r="36" spans="1:7" ht="63.75" x14ac:dyDescent="0.2">
      <c r="A36" s="31">
        <f t="shared" si="1"/>
        <v>34</v>
      </c>
      <c r="B36" s="10" t="s">
        <v>81</v>
      </c>
      <c r="C36" s="17" t="s">
        <v>13</v>
      </c>
      <c r="D36" s="17" t="s">
        <v>82</v>
      </c>
      <c r="E36" s="73" t="s">
        <v>226</v>
      </c>
      <c r="F36" s="88">
        <v>1829</v>
      </c>
      <c r="G36" s="44">
        <v>9363802142</v>
      </c>
    </row>
    <row r="37" spans="1:7" ht="51" x14ac:dyDescent="0.2">
      <c r="A37" s="29">
        <f t="shared" si="1"/>
        <v>35</v>
      </c>
      <c r="B37" s="2" t="s">
        <v>83</v>
      </c>
      <c r="C37" s="18" t="s">
        <v>84</v>
      </c>
      <c r="D37" s="18" t="s">
        <v>85</v>
      </c>
      <c r="E37" s="76" t="s">
        <v>227</v>
      </c>
      <c r="F37" s="91">
        <v>4212</v>
      </c>
      <c r="G37" s="45">
        <v>1043220909.375</v>
      </c>
    </row>
    <row r="38" spans="1:7" ht="38.25" x14ac:dyDescent="0.2">
      <c r="A38" s="31">
        <f t="shared" si="1"/>
        <v>36</v>
      </c>
      <c r="B38" s="11" t="s">
        <v>86</v>
      </c>
      <c r="C38" s="19" t="s">
        <v>87</v>
      </c>
      <c r="D38" s="19" t="s">
        <v>67</v>
      </c>
      <c r="E38" s="73" t="s">
        <v>229</v>
      </c>
      <c r="F38" s="88">
        <v>632</v>
      </c>
      <c r="G38" s="41">
        <v>10769423212.864233</v>
      </c>
    </row>
    <row r="39" spans="1:7" ht="38.25" x14ac:dyDescent="0.2">
      <c r="A39" s="29">
        <f t="shared" si="1"/>
        <v>37</v>
      </c>
      <c r="B39" s="3" t="s">
        <v>88</v>
      </c>
      <c r="C39" s="20"/>
      <c r="D39" s="20" t="s">
        <v>89</v>
      </c>
      <c r="E39" s="74" t="s">
        <v>229</v>
      </c>
      <c r="F39" s="89">
        <v>680</v>
      </c>
      <c r="G39" s="42">
        <v>11163066116.620752</v>
      </c>
    </row>
    <row r="40" spans="1:7" ht="51" x14ac:dyDescent="0.2">
      <c r="A40" s="31">
        <f t="shared" si="1"/>
        <v>38</v>
      </c>
      <c r="B40" s="9" t="s">
        <v>90</v>
      </c>
      <c r="C40" s="19" t="s">
        <v>84</v>
      </c>
      <c r="D40" s="19" t="s">
        <v>91</v>
      </c>
      <c r="E40" s="73" t="s">
        <v>226</v>
      </c>
      <c r="F40" s="88">
        <v>760</v>
      </c>
      <c r="G40" s="41">
        <v>3791193166</v>
      </c>
    </row>
    <row r="41" spans="1:7" ht="51" x14ac:dyDescent="0.2">
      <c r="A41" s="29">
        <f t="shared" si="1"/>
        <v>39</v>
      </c>
      <c r="B41" s="2" t="s">
        <v>92</v>
      </c>
      <c r="C41" s="20" t="s">
        <v>93</v>
      </c>
      <c r="D41" s="20" t="s">
        <v>94</v>
      </c>
      <c r="E41" s="74" t="s">
        <v>226</v>
      </c>
      <c r="F41" s="89">
        <v>280</v>
      </c>
      <c r="G41" s="42">
        <v>37443742740</v>
      </c>
    </row>
    <row r="42" spans="1:7" ht="76.5" x14ac:dyDescent="0.2">
      <c r="A42" s="31">
        <f t="shared" si="1"/>
        <v>40</v>
      </c>
      <c r="B42" s="11" t="s">
        <v>95</v>
      </c>
      <c r="C42" s="19" t="s">
        <v>96</v>
      </c>
      <c r="D42" s="19" t="s">
        <v>97</v>
      </c>
      <c r="E42" s="73" t="s">
        <v>230</v>
      </c>
      <c r="F42" s="88">
        <v>4360</v>
      </c>
      <c r="G42" s="41">
        <v>29829990418</v>
      </c>
    </row>
    <row r="43" spans="1:7" ht="51" x14ac:dyDescent="0.2">
      <c r="A43" s="29">
        <f t="shared" si="1"/>
        <v>41</v>
      </c>
      <c r="B43" s="2" t="s">
        <v>98</v>
      </c>
      <c r="C43" s="20" t="s">
        <v>99</v>
      </c>
      <c r="D43" s="20" t="s">
        <v>100</v>
      </c>
      <c r="E43" s="74" t="s">
        <v>226</v>
      </c>
      <c r="F43" s="89">
        <v>390</v>
      </c>
      <c r="G43" s="42">
        <v>3511772000</v>
      </c>
    </row>
    <row r="44" spans="1:7" ht="51" x14ac:dyDescent="0.2">
      <c r="A44" s="31">
        <f t="shared" si="1"/>
        <v>42</v>
      </c>
      <c r="B44" s="9" t="s">
        <v>101</v>
      </c>
      <c r="C44" s="19" t="s">
        <v>39</v>
      </c>
      <c r="D44" s="19" t="s">
        <v>49</v>
      </c>
      <c r="E44" s="73" t="s">
        <v>229</v>
      </c>
      <c r="F44" s="88">
        <v>24300</v>
      </c>
      <c r="G44" s="41">
        <v>47740229147.701836</v>
      </c>
    </row>
    <row r="45" spans="1:7" ht="51" x14ac:dyDescent="0.2">
      <c r="A45" s="29">
        <f t="shared" si="1"/>
        <v>43</v>
      </c>
      <c r="B45" s="4" t="s">
        <v>102</v>
      </c>
      <c r="C45" s="24" t="s">
        <v>103</v>
      </c>
      <c r="D45" s="24" t="s">
        <v>104</v>
      </c>
      <c r="E45" s="77" t="s">
        <v>224</v>
      </c>
      <c r="F45" s="87">
        <v>180</v>
      </c>
      <c r="G45" s="42">
        <v>3665028884</v>
      </c>
    </row>
    <row r="46" spans="1:7" ht="63.75" x14ac:dyDescent="0.2">
      <c r="A46" s="31">
        <f t="shared" si="1"/>
        <v>44</v>
      </c>
      <c r="B46" s="11" t="s">
        <v>105</v>
      </c>
      <c r="C46" s="19" t="s">
        <v>84</v>
      </c>
      <c r="D46" s="19" t="s">
        <v>106</v>
      </c>
      <c r="E46" s="73" t="s">
        <v>224</v>
      </c>
      <c r="F46" s="88">
        <v>648</v>
      </c>
      <c r="G46" s="41">
        <v>3365519999.7594995</v>
      </c>
    </row>
    <row r="47" spans="1:7" ht="51" x14ac:dyDescent="0.2">
      <c r="A47" s="29">
        <f t="shared" si="1"/>
        <v>45</v>
      </c>
      <c r="B47" s="2" t="s">
        <v>107</v>
      </c>
      <c r="C47" s="20" t="s">
        <v>108</v>
      </c>
      <c r="D47" s="20" t="s">
        <v>109</v>
      </c>
      <c r="E47" s="74" t="s">
        <v>224</v>
      </c>
      <c r="F47" s="89">
        <v>682</v>
      </c>
      <c r="G47" s="42">
        <v>4547999999.6750002</v>
      </c>
    </row>
    <row r="48" spans="1:7" ht="63.75" x14ac:dyDescent="0.2">
      <c r="A48" s="31">
        <f t="shared" si="1"/>
        <v>46</v>
      </c>
      <c r="B48" s="11" t="s">
        <v>110</v>
      </c>
      <c r="C48" s="19" t="s">
        <v>111</v>
      </c>
      <c r="D48" s="19" t="s">
        <v>112</v>
      </c>
      <c r="E48" s="73" t="s">
        <v>224</v>
      </c>
      <c r="F48" s="88">
        <v>710</v>
      </c>
      <c r="G48" s="37">
        <v>4547999999.6750002</v>
      </c>
    </row>
    <row r="49" spans="1:7" ht="51" x14ac:dyDescent="0.2">
      <c r="A49" s="29">
        <f t="shared" si="1"/>
        <v>47</v>
      </c>
      <c r="B49" s="4" t="s">
        <v>113</v>
      </c>
      <c r="C49" s="24" t="s">
        <v>84</v>
      </c>
      <c r="D49" s="24" t="s">
        <v>114</v>
      </c>
      <c r="E49" s="77" t="s">
        <v>224</v>
      </c>
      <c r="F49" s="87">
        <v>120</v>
      </c>
      <c r="G49" s="42">
        <v>4547999999.6750002</v>
      </c>
    </row>
    <row r="50" spans="1:7" ht="51" x14ac:dyDescent="0.2">
      <c r="A50" s="31">
        <f t="shared" si="1"/>
        <v>48</v>
      </c>
      <c r="B50" s="11" t="s">
        <v>115</v>
      </c>
      <c r="C50" s="19" t="s">
        <v>116</v>
      </c>
      <c r="D50" s="19" t="s">
        <v>117</v>
      </c>
      <c r="E50" s="73" t="s">
        <v>224</v>
      </c>
      <c r="F50" s="88">
        <v>712</v>
      </c>
      <c r="G50" s="41">
        <v>4554599999.6750002</v>
      </c>
    </row>
    <row r="51" spans="1:7" ht="38.25" x14ac:dyDescent="0.2">
      <c r="A51" s="29">
        <f t="shared" si="1"/>
        <v>49</v>
      </c>
      <c r="B51" s="2" t="s">
        <v>118</v>
      </c>
      <c r="C51" s="20" t="s">
        <v>84</v>
      </c>
      <c r="D51" s="20" t="s">
        <v>119</v>
      </c>
      <c r="E51" s="74" t="s">
        <v>224</v>
      </c>
      <c r="F51" s="89">
        <v>480</v>
      </c>
      <c r="G51" s="102">
        <v>2569619999.8163748</v>
      </c>
    </row>
    <row r="52" spans="1:7" ht="51" x14ac:dyDescent="0.2">
      <c r="A52" s="31">
        <f t="shared" si="1"/>
        <v>50</v>
      </c>
      <c r="B52" s="9" t="s">
        <v>120</v>
      </c>
      <c r="C52" s="19" t="s">
        <v>121</v>
      </c>
      <c r="D52" s="19" t="s">
        <v>122</v>
      </c>
      <c r="E52" s="73" t="s">
        <v>224</v>
      </c>
      <c r="F52" s="88">
        <v>766</v>
      </c>
      <c r="G52" s="47">
        <v>4396815000.3249998</v>
      </c>
    </row>
    <row r="53" spans="1:7" ht="63.75" x14ac:dyDescent="0.2">
      <c r="A53" s="29">
        <f t="shared" si="1"/>
        <v>51</v>
      </c>
      <c r="B53" s="3" t="s">
        <v>123</v>
      </c>
      <c r="C53" s="20" t="s">
        <v>108</v>
      </c>
      <c r="D53" s="20" t="s">
        <v>124</v>
      </c>
      <c r="E53" s="74" t="s">
        <v>224</v>
      </c>
      <c r="F53" s="89">
        <v>650</v>
      </c>
      <c r="G53" s="46">
        <v>3964419999.7874994</v>
      </c>
    </row>
    <row r="54" spans="1:7" ht="51" x14ac:dyDescent="0.2">
      <c r="A54" s="31">
        <f t="shared" si="1"/>
        <v>52</v>
      </c>
      <c r="B54" s="9" t="s">
        <v>125</v>
      </c>
      <c r="C54" s="19" t="s">
        <v>108</v>
      </c>
      <c r="D54" s="19" t="s">
        <v>126</v>
      </c>
      <c r="E54" s="73" t="s">
        <v>224</v>
      </c>
      <c r="F54" s="88">
        <v>612</v>
      </c>
      <c r="G54" s="32">
        <v>3561999999.7408752</v>
      </c>
    </row>
    <row r="55" spans="1:7" ht="51" x14ac:dyDescent="0.2">
      <c r="A55" s="29">
        <f t="shared" si="1"/>
        <v>53</v>
      </c>
      <c r="B55" s="3" t="s">
        <v>127</v>
      </c>
      <c r="C55" s="20" t="s">
        <v>43</v>
      </c>
      <c r="D55" s="20" t="s">
        <v>128</v>
      </c>
      <c r="E55" s="74" t="s">
        <v>224</v>
      </c>
      <c r="F55" s="89">
        <v>806</v>
      </c>
      <c r="G55" s="33">
        <v>6807840000.2249994</v>
      </c>
    </row>
    <row r="56" spans="1:7" ht="51" x14ac:dyDescent="0.2">
      <c r="A56" s="31">
        <f t="shared" si="1"/>
        <v>54</v>
      </c>
      <c r="B56" s="9" t="s">
        <v>129</v>
      </c>
      <c r="C56" s="19" t="s">
        <v>130</v>
      </c>
      <c r="D56" s="19" t="s">
        <v>131</v>
      </c>
      <c r="E56" s="73" t="s">
        <v>224</v>
      </c>
      <c r="F56" s="88">
        <v>482</v>
      </c>
      <c r="G56" s="41">
        <v>2827214075</v>
      </c>
    </row>
    <row r="57" spans="1:7" ht="39.75" customHeight="1" x14ac:dyDescent="0.2">
      <c r="A57" s="29">
        <f t="shared" si="1"/>
        <v>55</v>
      </c>
      <c r="B57" s="2" t="s">
        <v>132</v>
      </c>
      <c r="C57" s="20" t="s">
        <v>130</v>
      </c>
      <c r="D57" s="20" t="s">
        <v>133</v>
      </c>
      <c r="E57" s="74" t="s">
        <v>224</v>
      </c>
      <c r="F57" s="89">
        <v>712</v>
      </c>
      <c r="G57" s="42">
        <v>3116335598</v>
      </c>
    </row>
    <row r="58" spans="1:7" ht="51" x14ac:dyDescent="0.2">
      <c r="A58" s="31">
        <f t="shared" si="1"/>
        <v>56</v>
      </c>
      <c r="B58" s="11" t="s">
        <v>134</v>
      </c>
      <c r="C58" s="19" t="s">
        <v>130</v>
      </c>
      <c r="D58" s="19" t="s">
        <v>135</v>
      </c>
      <c r="E58" s="73" t="s">
        <v>224</v>
      </c>
      <c r="F58" s="88">
        <v>604</v>
      </c>
      <c r="G58" s="41">
        <v>3202638052</v>
      </c>
    </row>
    <row r="59" spans="1:7" ht="51" x14ac:dyDescent="0.2">
      <c r="A59" s="29">
        <f t="shared" si="1"/>
        <v>57</v>
      </c>
      <c r="B59" s="2" t="s">
        <v>136</v>
      </c>
      <c r="C59" s="20" t="s">
        <v>137</v>
      </c>
      <c r="D59" s="20" t="s">
        <v>138</v>
      </c>
      <c r="E59" s="74" t="s">
        <v>224</v>
      </c>
      <c r="F59" s="89">
        <v>1240</v>
      </c>
      <c r="G59" s="42">
        <v>12250743734</v>
      </c>
    </row>
    <row r="60" spans="1:7" ht="38.25" x14ac:dyDescent="0.2">
      <c r="A60" s="31">
        <f t="shared" si="1"/>
        <v>58</v>
      </c>
      <c r="B60" s="11" t="s">
        <v>139</v>
      </c>
      <c r="C60" s="19" t="s">
        <v>99</v>
      </c>
      <c r="D60" s="19" t="s">
        <v>100</v>
      </c>
      <c r="E60" s="73" t="s">
        <v>224</v>
      </c>
      <c r="F60" s="88">
        <v>810</v>
      </c>
      <c r="G60" s="41">
        <v>6989124623</v>
      </c>
    </row>
    <row r="61" spans="1:7" ht="38.25" x14ac:dyDescent="0.2">
      <c r="A61" s="29">
        <f t="shared" si="1"/>
        <v>59</v>
      </c>
      <c r="B61" s="3" t="s">
        <v>140</v>
      </c>
      <c r="C61" s="20" t="s">
        <v>130</v>
      </c>
      <c r="D61" s="20" t="s">
        <v>141</v>
      </c>
      <c r="E61" s="74" t="s">
        <v>224</v>
      </c>
      <c r="F61" s="89">
        <v>606</v>
      </c>
      <c r="G61" s="42">
        <v>3488900277</v>
      </c>
    </row>
    <row r="62" spans="1:7" ht="38.25" x14ac:dyDescent="0.2">
      <c r="A62" s="31">
        <f t="shared" si="1"/>
        <v>60</v>
      </c>
      <c r="B62" s="7" t="s">
        <v>142</v>
      </c>
      <c r="C62" s="19" t="s">
        <v>108</v>
      </c>
      <c r="D62" s="14" t="s">
        <v>143</v>
      </c>
      <c r="E62" s="71" t="s">
        <v>224</v>
      </c>
      <c r="F62" s="85">
        <v>488</v>
      </c>
      <c r="G62" s="48">
        <v>2274560000</v>
      </c>
    </row>
    <row r="63" spans="1:7" ht="38.25" x14ac:dyDescent="0.2">
      <c r="A63" s="29">
        <f t="shared" si="1"/>
        <v>61</v>
      </c>
      <c r="B63" s="5" t="s">
        <v>144</v>
      </c>
      <c r="C63" s="20" t="s">
        <v>108</v>
      </c>
      <c r="D63" s="13" t="s">
        <v>145</v>
      </c>
      <c r="E63" s="70" t="s">
        <v>224</v>
      </c>
      <c r="F63" s="84">
        <v>452</v>
      </c>
      <c r="G63" s="49">
        <v>2274560000</v>
      </c>
    </row>
    <row r="64" spans="1:7" ht="25.5" x14ac:dyDescent="0.2">
      <c r="A64" s="31">
        <f t="shared" si="1"/>
        <v>62</v>
      </c>
      <c r="B64" s="7" t="s">
        <v>146</v>
      </c>
      <c r="C64" s="19" t="s">
        <v>13</v>
      </c>
      <c r="D64" s="14" t="s">
        <v>51</v>
      </c>
      <c r="E64" s="71" t="s">
        <v>226</v>
      </c>
      <c r="F64" s="85">
        <v>1280</v>
      </c>
      <c r="G64" s="48">
        <v>13750840000</v>
      </c>
    </row>
    <row r="65" spans="1:7" ht="38.25" x14ac:dyDescent="0.2">
      <c r="A65" s="29">
        <f t="shared" si="1"/>
        <v>63</v>
      </c>
      <c r="B65" s="5" t="s">
        <v>147</v>
      </c>
      <c r="C65" s="20" t="s">
        <v>84</v>
      </c>
      <c r="D65" s="13" t="s">
        <v>148</v>
      </c>
      <c r="E65" s="70" t="s">
        <v>224</v>
      </c>
      <c r="F65" s="84">
        <v>412</v>
      </c>
      <c r="G65" s="49">
        <v>2275330000</v>
      </c>
    </row>
    <row r="66" spans="1:7" ht="51" x14ac:dyDescent="0.2">
      <c r="A66" s="31">
        <f t="shared" si="1"/>
        <v>64</v>
      </c>
      <c r="B66" s="7" t="s">
        <v>149</v>
      </c>
      <c r="C66" s="19" t="s">
        <v>108</v>
      </c>
      <c r="D66" s="14" t="s">
        <v>150</v>
      </c>
      <c r="E66" s="71" t="s">
        <v>224</v>
      </c>
      <c r="F66" s="85">
        <v>310</v>
      </c>
      <c r="G66" s="48">
        <v>2275330000</v>
      </c>
    </row>
    <row r="67" spans="1:7" ht="51" x14ac:dyDescent="0.2">
      <c r="A67" s="29">
        <f t="shared" si="1"/>
        <v>65</v>
      </c>
      <c r="B67" s="3" t="s">
        <v>151</v>
      </c>
      <c r="C67" s="20" t="s">
        <v>84</v>
      </c>
      <c r="D67" s="20" t="s">
        <v>148</v>
      </c>
      <c r="E67" s="74" t="s">
        <v>226</v>
      </c>
      <c r="F67" s="89">
        <v>1035</v>
      </c>
      <c r="G67" s="42">
        <v>6959694932</v>
      </c>
    </row>
    <row r="68" spans="1:7" ht="38.25" x14ac:dyDescent="0.2">
      <c r="A68" s="31">
        <f t="shared" si="1"/>
        <v>66</v>
      </c>
      <c r="B68" s="9" t="s">
        <v>152</v>
      </c>
      <c r="C68" s="19" t="s">
        <v>39</v>
      </c>
      <c r="D68" s="19" t="s">
        <v>153</v>
      </c>
      <c r="E68" s="73" t="s">
        <v>226</v>
      </c>
      <c r="F68" s="88">
        <v>160</v>
      </c>
      <c r="G68" s="41">
        <v>767898944</v>
      </c>
    </row>
    <row r="69" spans="1:7" ht="51" x14ac:dyDescent="0.2">
      <c r="A69" s="29">
        <f t="shared" si="1"/>
        <v>67</v>
      </c>
      <c r="B69" s="3" t="s">
        <v>154</v>
      </c>
      <c r="C69" s="20" t="s">
        <v>10</v>
      </c>
      <c r="D69" s="20" t="s">
        <v>155</v>
      </c>
      <c r="E69" s="74" t="s">
        <v>226</v>
      </c>
      <c r="F69" s="89">
        <v>856</v>
      </c>
      <c r="G69" s="42">
        <v>1524000000</v>
      </c>
    </row>
    <row r="70" spans="1:7" ht="38.25" x14ac:dyDescent="0.2">
      <c r="A70" s="31">
        <f t="shared" si="1"/>
        <v>68</v>
      </c>
      <c r="B70" s="9" t="s">
        <v>64</v>
      </c>
      <c r="C70" s="19" t="s">
        <v>10</v>
      </c>
      <c r="D70" s="19" t="s">
        <v>156</v>
      </c>
      <c r="E70" s="73" t="s">
        <v>226</v>
      </c>
      <c r="F70" s="88">
        <v>1291</v>
      </c>
      <c r="G70" s="41">
        <v>616667800</v>
      </c>
    </row>
    <row r="71" spans="1:7" ht="38.25" x14ac:dyDescent="0.2">
      <c r="A71" s="29">
        <f t="shared" si="1"/>
        <v>69</v>
      </c>
      <c r="B71" s="3" t="s">
        <v>157</v>
      </c>
      <c r="C71" s="20" t="s">
        <v>158</v>
      </c>
      <c r="D71" s="20" t="s">
        <v>159</v>
      </c>
      <c r="E71" s="74" t="s">
        <v>226</v>
      </c>
      <c r="F71" s="89">
        <v>585</v>
      </c>
      <c r="G71" s="42">
        <v>1305654000</v>
      </c>
    </row>
    <row r="72" spans="1:7" ht="63.75" x14ac:dyDescent="0.2">
      <c r="A72" s="31">
        <f t="shared" si="1"/>
        <v>70</v>
      </c>
      <c r="B72" s="9" t="s">
        <v>75</v>
      </c>
      <c r="C72" s="19" t="s">
        <v>76</v>
      </c>
      <c r="D72" s="19" t="s">
        <v>77</v>
      </c>
      <c r="E72" s="73" t="s">
        <v>226</v>
      </c>
      <c r="F72" s="88">
        <v>810</v>
      </c>
      <c r="G72" s="41">
        <v>2392926500</v>
      </c>
    </row>
    <row r="73" spans="1:7" ht="51" x14ac:dyDescent="0.2">
      <c r="A73" s="29">
        <f t="shared" si="1"/>
        <v>71</v>
      </c>
      <c r="B73" s="3" t="s">
        <v>160</v>
      </c>
      <c r="C73" s="20" t="s">
        <v>93</v>
      </c>
      <c r="D73" s="20" t="s">
        <v>161</v>
      </c>
      <c r="E73" s="74" t="s">
        <v>226</v>
      </c>
      <c r="F73" s="89">
        <v>2600</v>
      </c>
      <c r="G73" s="42">
        <v>29566350000</v>
      </c>
    </row>
    <row r="74" spans="1:7" ht="51" x14ac:dyDescent="0.2">
      <c r="A74" s="31">
        <f t="shared" si="1"/>
        <v>72</v>
      </c>
      <c r="B74" s="9" t="s">
        <v>162</v>
      </c>
      <c r="C74" s="19" t="s">
        <v>13</v>
      </c>
      <c r="D74" s="19" t="s">
        <v>163</v>
      </c>
      <c r="E74" s="73" t="s">
        <v>226</v>
      </c>
      <c r="F74" s="88">
        <v>1380</v>
      </c>
      <c r="G74" s="41">
        <v>15475640000</v>
      </c>
    </row>
    <row r="75" spans="1:7" ht="51" x14ac:dyDescent="0.2">
      <c r="A75" s="29">
        <f t="shared" si="1"/>
        <v>73</v>
      </c>
      <c r="B75" s="3" t="s">
        <v>164</v>
      </c>
      <c r="C75" s="20" t="s">
        <v>13</v>
      </c>
      <c r="D75" s="20" t="s">
        <v>165</v>
      </c>
      <c r="E75" s="74" t="s">
        <v>226</v>
      </c>
      <c r="F75" s="89">
        <v>3300</v>
      </c>
      <c r="G75" s="42">
        <v>35471620000</v>
      </c>
    </row>
    <row r="76" spans="1:7" ht="51" x14ac:dyDescent="0.2">
      <c r="A76" s="31">
        <f t="shared" si="1"/>
        <v>74</v>
      </c>
      <c r="B76" s="9" t="s">
        <v>166</v>
      </c>
      <c r="C76" s="19" t="s">
        <v>13</v>
      </c>
      <c r="D76" s="19" t="s">
        <v>51</v>
      </c>
      <c r="E76" s="73" t="s">
        <v>226</v>
      </c>
      <c r="F76" s="88">
        <v>2876</v>
      </c>
      <c r="G76" s="41">
        <v>23661080000</v>
      </c>
    </row>
    <row r="77" spans="1:7" ht="51" x14ac:dyDescent="0.2">
      <c r="A77" s="29">
        <f t="shared" si="1"/>
        <v>75</v>
      </c>
      <c r="B77" s="3" t="s">
        <v>167</v>
      </c>
      <c r="C77" s="20" t="s">
        <v>108</v>
      </c>
      <c r="D77" s="20" t="s">
        <v>168</v>
      </c>
      <c r="E77" s="74" t="s">
        <v>227</v>
      </c>
      <c r="F77" s="89">
        <v>4767</v>
      </c>
      <c r="G77" s="42">
        <v>9653502567.4224014</v>
      </c>
    </row>
    <row r="78" spans="1:7" ht="51" x14ac:dyDescent="0.2">
      <c r="A78" s="31">
        <f t="shared" ref="A78:A107" si="2">+A77+1</f>
        <v>76</v>
      </c>
      <c r="B78" s="9" t="s">
        <v>169</v>
      </c>
      <c r="C78" s="19" t="s">
        <v>84</v>
      </c>
      <c r="D78" s="19" t="s">
        <v>170</v>
      </c>
      <c r="E78" s="73" t="s">
        <v>227</v>
      </c>
      <c r="F78" s="88">
        <v>1132</v>
      </c>
      <c r="G78" s="41">
        <v>1743220909.375</v>
      </c>
    </row>
    <row r="79" spans="1:7" ht="38.25" x14ac:dyDescent="0.2">
      <c r="A79" s="29">
        <f t="shared" si="2"/>
        <v>77</v>
      </c>
      <c r="B79" s="3" t="s">
        <v>171</v>
      </c>
      <c r="C79" s="20" t="s">
        <v>13</v>
      </c>
      <c r="D79" s="20" t="s">
        <v>172</v>
      </c>
      <c r="E79" s="74" t="s">
        <v>230</v>
      </c>
      <c r="F79" s="89">
        <v>2199</v>
      </c>
      <c r="G79" s="42">
        <v>9210000000</v>
      </c>
    </row>
    <row r="80" spans="1:7" ht="32.25" customHeight="1" x14ac:dyDescent="0.2">
      <c r="A80" s="31">
        <f t="shared" si="2"/>
        <v>78</v>
      </c>
      <c r="B80" s="11" t="s">
        <v>173</v>
      </c>
      <c r="C80" s="19" t="s">
        <v>13</v>
      </c>
      <c r="D80" s="19" t="s">
        <v>30</v>
      </c>
      <c r="E80" s="73" t="s">
        <v>230</v>
      </c>
      <c r="F80" s="88">
        <v>2100</v>
      </c>
      <c r="G80" s="41">
        <v>6332000000</v>
      </c>
    </row>
    <row r="81" spans="1:7" ht="38.25" x14ac:dyDescent="0.2">
      <c r="A81" s="29">
        <f t="shared" si="2"/>
        <v>79</v>
      </c>
      <c r="B81" s="3" t="s">
        <v>174</v>
      </c>
      <c r="C81" s="20" t="s">
        <v>13</v>
      </c>
      <c r="D81" s="20" t="s">
        <v>33</v>
      </c>
      <c r="E81" s="74" t="s">
        <v>230</v>
      </c>
      <c r="F81" s="89">
        <v>1409</v>
      </c>
      <c r="G81" s="42">
        <v>14400000000</v>
      </c>
    </row>
    <row r="82" spans="1:7" ht="38.25" x14ac:dyDescent="0.2">
      <c r="A82" s="31">
        <f t="shared" si="2"/>
        <v>80</v>
      </c>
      <c r="B82" s="9" t="s">
        <v>175</v>
      </c>
      <c r="C82" s="19" t="s">
        <v>13</v>
      </c>
      <c r="D82" s="19" t="s">
        <v>176</v>
      </c>
      <c r="E82" s="73" t="s">
        <v>230</v>
      </c>
      <c r="F82" s="88">
        <v>812</v>
      </c>
      <c r="G82" s="41">
        <v>2798544000</v>
      </c>
    </row>
    <row r="83" spans="1:7" ht="63.75" x14ac:dyDescent="0.2">
      <c r="A83" s="50">
        <f t="shared" si="2"/>
        <v>81</v>
      </c>
      <c r="B83" s="26" t="s">
        <v>177</v>
      </c>
      <c r="C83" s="23" t="s">
        <v>178</v>
      </c>
      <c r="D83" s="23" t="s">
        <v>179</v>
      </c>
      <c r="E83" s="75" t="s">
        <v>226</v>
      </c>
      <c r="F83" s="90">
        <v>486</v>
      </c>
      <c r="G83" s="43">
        <v>16618040000</v>
      </c>
    </row>
    <row r="84" spans="1:7" ht="38.25" x14ac:dyDescent="0.2">
      <c r="A84" s="51">
        <f t="shared" si="2"/>
        <v>82</v>
      </c>
      <c r="B84" s="27" t="s">
        <v>180</v>
      </c>
      <c r="C84" s="28" t="s">
        <v>39</v>
      </c>
      <c r="D84" s="28" t="s">
        <v>49</v>
      </c>
      <c r="E84" s="78" t="s">
        <v>229</v>
      </c>
      <c r="F84" s="92">
        <v>10830</v>
      </c>
      <c r="G84" s="52">
        <v>47740229147.701836</v>
      </c>
    </row>
    <row r="85" spans="1:7" ht="38.25" x14ac:dyDescent="0.2">
      <c r="A85" s="50">
        <f t="shared" si="2"/>
        <v>83</v>
      </c>
      <c r="B85" s="2" t="s">
        <v>181</v>
      </c>
      <c r="C85" s="20" t="s">
        <v>7</v>
      </c>
      <c r="D85" s="20" t="s">
        <v>8</v>
      </c>
      <c r="E85" s="74" t="s">
        <v>230</v>
      </c>
      <c r="F85" s="89">
        <v>318</v>
      </c>
      <c r="G85" s="42">
        <v>7865800000</v>
      </c>
    </row>
    <row r="86" spans="1:7" ht="38.25" x14ac:dyDescent="0.2">
      <c r="A86" s="51">
        <f t="shared" si="2"/>
        <v>84</v>
      </c>
      <c r="B86" s="11" t="s">
        <v>182</v>
      </c>
      <c r="C86" s="19" t="s">
        <v>46</v>
      </c>
      <c r="D86" s="19" t="s">
        <v>72</v>
      </c>
      <c r="E86" s="73" t="s">
        <v>230</v>
      </c>
      <c r="F86" s="88">
        <v>1835</v>
      </c>
      <c r="G86" s="41">
        <v>16785000000</v>
      </c>
    </row>
    <row r="87" spans="1:7" ht="38.25" x14ac:dyDescent="0.2">
      <c r="A87" s="50">
        <f t="shared" si="2"/>
        <v>85</v>
      </c>
      <c r="B87" s="2" t="s">
        <v>183</v>
      </c>
      <c r="C87" s="20" t="s">
        <v>39</v>
      </c>
      <c r="D87" s="20" t="s">
        <v>49</v>
      </c>
      <c r="E87" s="74" t="s">
        <v>225</v>
      </c>
      <c r="F87" s="89">
        <v>4038</v>
      </c>
      <c r="G87" s="42">
        <v>70211823352.272003</v>
      </c>
    </row>
    <row r="88" spans="1:7" ht="38.25" x14ac:dyDescent="0.2">
      <c r="A88" s="51">
        <f t="shared" si="2"/>
        <v>86</v>
      </c>
      <c r="B88" s="11" t="s">
        <v>184</v>
      </c>
      <c r="C88" s="19" t="s">
        <v>13</v>
      </c>
      <c r="D88" s="19" t="s">
        <v>33</v>
      </c>
      <c r="E88" s="73" t="s">
        <v>225</v>
      </c>
      <c r="F88" s="88">
        <v>2355</v>
      </c>
      <c r="G88" s="41">
        <v>26329433757.101997</v>
      </c>
    </row>
    <row r="89" spans="1:7" ht="38.25" x14ac:dyDescent="0.2">
      <c r="A89" s="50">
        <f t="shared" si="2"/>
        <v>87</v>
      </c>
      <c r="B89" s="2" t="s">
        <v>185</v>
      </c>
      <c r="C89" s="20" t="s">
        <v>13</v>
      </c>
      <c r="D89" s="20" t="s">
        <v>30</v>
      </c>
      <c r="E89" s="74" t="s">
        <v>225</v>
      </c>
      <c r="F89" s="89">
        <v>2490</v>
      </c>
      <c r="G89" s="42">
        <v>26329433757.101997</v>
      </c>
    </row>
    <row r="90" spans="1:7" ht="38.25" x14ac:dyDescent="0.2">
      <c r="A90" s="51">
        <f t="shared" si="2"/>
        <v>88</v>
      </c>
      <c r="B90" s="11" t="s">
        <v>186</v>
      </c>
      <c r="C90" s="19" t="s">
        <v>13</v>
      </c>
      <c r="D90" s="19" t="s">
        <v>187</v>
      </c>
      <c r="E90" s="73" t="s">
        <v>225</v>
      </c>
      <c r="F90" s="88">
        <v>4040</v>
      </c>
      <c r="G90" s="41">
        <v>26329433757.101997</v>
      </c>
    </row>
    <row r="91" spans="1:7" ht="38.25" x14ac:dyDescent="0.2">
      <c r="A91" s="50">
        <f t="shared" si="2"/>
        <v>89</v>
      </c>
      <c r="B91" s="2" t="s">
        <v>185</v>
      </c>
      <c r="C91" s="20" t="s">
        <v>13</v>
      </c>
      <c r="D91" s="20" t="s">
        <v>30</v>
      </c>
      <c r="E91" s="74" t="s">
        <v>225</v>
      </c>
      <c r="F91" s="89">
        <v>4110</v>
      </c>
      <c r="G91" s="42">
        <v>26329433757.101997</v>
      </c>
    </row>
    <row r="92" spans="1:7" ht="38.25" x14ac:dyDescent="0.2">
      <c r="A92" s="51">
        <f t="shared" si="2"/>
        <v>90</v>
      </c>
      <c r="B92" s="11" t="s">
        <v>188</v>
      </c>
      <c r="C92" s="19" t="s">
        <v>13</v>
      </c>
      <c r="D92" s="19" t="s">
        <v>54</v>
      </c>
      <c r="E92" s="73" t="s">
        <v>225</v>
      </c>
      <c r="F92" s="88">
        <v>4210</v>
      </c>
      <c r="G92" s="41">
        <v>26329433757.101997</v>
      </c>
    </row>
    <row r="93" spans="1:7" ht="51" x14ac:dyDescent="0.2">
      <c r="A93" s="50">
        <f t="shared" si="2"/>
        <v>91</v>
      </c>
      <c r="B93" s="3" t="s">
        <v>189</v>
      </c>
      <c r="C93" s="20" t="s">
        <v>13</v>
      </c>
      <c r="D93" s="20" t="s">
        <v>190</v>
      </c>
      <c r="E93" s="74" t="s">
        <v>226</v>
      </c>
      <c r="F93" s="89">
        <v>802</v>
      </c>
      <c r="G93" s="42">
        <v>16566912000</v>
      </c>
    </row>
    <row r="94" spans="1:7" ht="51" x14ac:dyDescent="0.2">
      <c r="A94" s="51">
        <f t="shared" si="2"/>
        <v>92</v>
      </c>
      <c r="B94" s="7" t="s">
        <v>191</v>
      </c>
      <c r="C94" s="14" t="s">
        <v>46</v>
      </c>
      <c r="D94" s="14" t="s">
        <v>72</v>
      </c>
      <c r="E94" s="71" t="s">
        <v>225</v>
      </c>
      <c r="F94" s="85">
        <v>3200</v>
      </c>
      <c r="G94" s="37" t="s">
        <v>192</v>
      </c>
    </row>
    <row r="95" spans="1:7" ht="51" x14ac:dyDescent="0.2">
      <c r="A95" s="29">
        <f t="shared" si="2"/>
        <v>93</v>
      </c>
      <c r="B95" s="3" t="s">
        <v>193</v>
      </c>
      <c r="C95" s="20" t="s">
        <v>46</v>
      </c>
      <c r="D95" s="20" t="s">
        <v>72</v>
      </c>
      <c r="E95" s="74" t="s">
        <v>226</v>
      </c>
      <c r="F95" s="89">
        <v>840</v>
      </c>
      <c r="G95" s="42">
        <v>16113540000</v>
      </c>
    </row>
    <row r="96" spans="1:7" ht="38.25" x14ac:dyDescent="0.2">
      <c r="A96" s="51">
        <f t="shared" si="2"/>
        <v>94</v>
      </c>
      <c r="B96" s="7" t="s">
        <v>194</v>
      </c>
      <c r="C96" s="14" t="s">
        <v>46</v>
      </c>
      <c r="D96" s="14" t="s">
        <v>72</v>
      </c>
      <c r="E96" s="71" t="s">
        <v>229</v>
      </c>
      <c r="F96" s="85">
        <v>14107</v>
      </c>
      <c r="G96" s="37">
        <v>18340500680</v>
      </c>
    </row>
    <row r="97" spans="1:7" ht="38.25" x14ac:dyDescent="0.2">
      <c r="A97" s="50">
        <f t="shared" si="2"/>
        <v>95</v>
      </c>
      <c r="B97" s="56" t="s">
        <v>195</v>
      </c>
      <c r="C97" s="57" t="s">
        <v>13</v>
      </c>
      <c r="D97" s="57" t="s">
        <v>51</v>
      </c>
      <c r="E97" s="79" t="s">
        <v>227</v>
      </c>
      <c r="F97" s="93">
        <v>130286</v>
      </c>
      <c r="G97" s="58">
        <v>115551484236.28537</v>
      </c>
    </row>
    <row r="98" spans="1:7" ht="63.75" x14ac:dyDescent="0.2">
      <c r="A98" s="51">
        <f t="shared" si="2"/>
        <v>96</v>
      </c>
      <c r="B98" s="53" t="s">
        <v>196</v>
      </c>
      <c r="C98" s="54" t="s">
        <v>13</v>
      </c>
      <c r="D98" s="54" t="s">
        <v>190</v>
      </c>
      <c r="E98" s="80" t="s">
        <v>227</v>
      </c>
      <c r="F98" s="94">
        <v>10717</v>
      </c>
      <c r="G98" s="55">
        <v>10257149999.999998</v>
      </c>
    </row>
    <row r="99" spans="1:7" ht="38.25" x14ac:dyDescent="0.2">
      <c r="A99" s="50">
        <f t="shared" si="2"/>
        <v>97</v>
      </c>
      <c r="B99" s="56" t="s">
        <v>197</v>
      </c>
      <c r="C99" s="57" t="s">
        <v>13</v>
      </c>
      <c r="D99" s="57" t="s">
        <v>165</v>
      </c>
      <c r="E99" s="79" t="s">
        <v>227</v>
      </c>
      <c r="F99" s="93">
        <v>12327</v>
      </c>
      <c r="G99" s="58">
        <v>195868439743.509</v>
      </c>
    </row>
    <row r="100" spans="1:7" ht="38.25" x14ac:dyDescent="0.2">
      <c r="A100" s="51">
        <f t="shared" si="2"/>
        <v>98</v>
      </c>
      <c r="B100" s="53" t="s">
        <v>198</v>
      </c>
      <c r="C100" s="54" t="s">
        <v>93</v>
      </c>
      <c r="D100" s="54" t="s">
        <v>8</v>
      </c>
      <c r="E100" s="80" t="s">
        <v>225</v>
      </c>
      <c r="F100" s="94">
        <v>22452</v>
      </c>
      <c r="G100" s="55">
        <v>26538750000</v>
      </c>
    </row>
    <row r="101" spans="1:7" ht="38.25" x14ac:dyDescent="0.2">
      <c r="A101" s="50">
        <f t="shared" si="2"/>
        <v>99</v>
      </c>
      <c r="B101" s="56" t="s">
        <v>199</v>
      </c>
      <c r="C101" s="57" t="s">
        <v>7</v>
      </c>
      <c r="D101" s="57" t="s">
        <v>200</v>
      </c>
      <c r="E101" s="79" t="s">
        <v>225</v>
      </c>
      <c r="F101" s="93">
        <v>5408</v>
      </c>
      <c r="G101" s="58">
        <v>29440200100</v>
      </c>
    </row>
    <row r="102" spans="1:7" ht="63.75" x14ac:dyDescent="0.2">
      <c r="A102" s="51">
        <f t="shared" si="2"/>
        <v>100</v>
      </c>
      <c r="B102" s="53" t="s">
        <v>201</v>
      </c>
      <c r="C102" s="54" t="s">
        <v>7</v>
      </c>
      <c r="D102" s="54" t="s">
        <v>200</v>
      </c>
      <c r="E102" s="80" t="s">
        <v>227</v>
      </c>
      <c r="F102" s="94">
        <v>4820</v>
      </c>
      <c r="G102" s="55">
        <v>28600470000</v>
      </c>
    </row>
    <row r="103" spans="1:7" ht="84" customHeight="1" x14ac:dyDescent="0.2">
      <c r="A103" s="50">
        <f t="shared" si="2"/>
        <v>101</v>
      </c>
      <c r="B103" s="56" t="s">
        <v>202</v>
      </c>
      <c r="C103" s="57" t="s">
        <v>39</v>
      </c>
      <c r="D103" s="57" t="s">
        <v>49</v>
      </c>
      <c r="E103" s="79" t="s">
        <v>229</v>
      </c>
      <c r="F103" s="93">
        <v>2458</v>
      </c>
      <c r="G103" s="58">
        <v>8656200560</v>
      </c>
    </row>
    <row r="104" spans="1:7" ht="38.25" x14ac:dyDescent="0.2">
      <c r="A104" s="51">
        <f t="shared" si="2"/>
        <v>102</v>
      </c>
      <c r="B104" s="53" t="s">
        <v>203</v>
      </c>
      <c r="C104" s="54" t="s">
        <v>7</v>
      </c>
      <c r="D104" s="54" t="s">
        <v>204</v>
      </c>
      <c r="E104" s="80" t="s">
        <v>230</v>
      </c>
      <c r="F104" s="94">
        <v>10249</v>
      </c>
      <c r="G104" s="55">
        <v>125000000000</v>
      </c>
    </row>
    <row r="105" spans="1:7" ht="76.5" x14ac:dyDescent="0.2">
      <c r="A105" s="59">
        <f t="shared" si="2"/>
        <v>103</v>
      </c>
      <c r="B105" s="56" t="s">
        <v>205</v>
      </c>
      <c r="C105" s="57" t="s">
        <v>93</v>
      </c>
      <c r="D105" s="57" t="s">
        <v>8</v>
      </c>
      <c r="E105" s="79" t="s">
        <v>226</v>
      </c>
      <c r="F105" s="93">
        <v>966</v>
      </c>
      <c r="G105" s="58">
        <v>3745562000</v>
      </c>
    </row>
    <row r="106" spans="1:7" ht="66.75" customHeight="1" x14ac:dyDescent="0.2">
      <c r="A106" s="51">
        <f t="shared" si="2"/>
        <v>104</v>
      </c>
      <c r="B106" s="53" t="s">
        <v>206</v>
      </c>
      <c r="C106" s="54" t="s">
        <v>111</v>
      </c>
      <c r="D106" s="54" t="s">
        <v>207</v>
      </c>
      <c r="E106" s="80" t="s">
        <v>228</v>
      </c>
      <c r="F106" s="94">
        <v>6012</v>
      </c>
      <c r="G106" s="55">
        <v>10300000000</v>
      </c>
    </row>
    <row r="107" spans="1:7" ht="51" x14ac:dyDescent="0.2">
      <c r="A107" s="60">
        <f t="shared" si="2"/>
        <v>105</v>
      </c>
      <c r="B107" s="3" t="s">
        <v>208</v>
      </c>
      <c r="C107" s="20" t="s">
        <v>7</v>
      </c>
      <c r="D107" s="20" t="s">
        <v>209</v>
      </c>
      <c r="E107" s="81" t="s">
        <v>227</v>
      </c>
      <c r="F107" s="95">
        <v>14111</v>
      </c>
      <c r="G107" s="61">
        <v>30000000000</v>
      </c>
    </row>
    <row r="108" spans="1:7" ht="38.25" x14ac:dyDescent="0.2">
      <c r="A108" s="62">
        <f t="shared" ref="A108:A114" si="3">+A107+1</f>
        <v>106</v>
      </c>
      <c r="B108" s="7" t="s">
        <v>210</v>
      </c>
      <c r="C108" s="14" t="s">
        <v>211</v>
      </c>
      <c r="D108" s="14" t="s">
        <v>212</v>
      </c>
      <c r="E108" s="82" t="s">
        <v>224</v>
      </c>
      <c r="F108" s="96">
        <v>1818</v>
      </c>
      <c r="G108" s="63">
        <f>+(18694322+3736128+81000)*3700</f>
        <v>83292365000</v>
      </c>
    </row>
    <row r="109" spans="1:7" ht="51" x14ac:dyDescent="0.2">
      <c r="A109" s="60">
        <f t="shared" si="3"/>
        <v>107</v>
      </c>
      <c r="B109" s="21" t="s">
        <v>213</v>
      </c>
      <c r="C109" s="22" t="s">
        <v>214</v>
      </c>
      <c r="D109" s="22" t="s">
        <v>215</v>
      </c>
      <c r="E109" s="83" t="s">
        <v>229</v>
      </c>
      <c r="F109" s="97">
        <v>5467</v>
      </c>
      <c r="G109" s="64">
        <v>28925025548</v>
      </c>
    </row>
    <row r="110" spans="1:7" ht="51" x14ac:dyDescent="0.2">
      <c r="A110" s="62">
        <f t="shared" si="3"/>
        <v>108</v>
      </c>
      <c r="B110" s="7" t="s">
        <v>216</v>
      </c>
      <c r="C110" s="14" t="s">
        <v>217</v>
      </c>
      <c r="D110" s="14" t="s">
        <v>218</v>
      </c>
      <c r="E110" s="82" t="s">
        <v>231</v>
      </c>
      <c r="F110" s="96">
        <v>1944</v>
      </c>
      <c r="G110" s="63">
        <v>6682480598.0481968</v>
      </c>
    </row>
    <row r="111" spans="1:7" ht="38.25" x14ac:dyDescent="0.2">
      <c r="A111" s="60">
        <f t="shared" si="3"/>
        <v>109</v>
      </c>
      <c r="B111" s="21" t="s">
        <v>219</v>
      </c>
      <c r="C111" s="22" t="s">
        <v>39</v>
      </c>
      <c r="D111" s="22" t="s">
        <v>220</v>
      </c>
      <c r="E111" s="83" t="s">
        <v>226</v>
      </c>
      <c r="F111" s="97">
        <v>832</v>
      </c>
      <c r="G111" s="64">
        <v>1000000000</v>
      </c>
    </row>
    <row r="112" spans="1:7" ht="36.75" customHeight="1" x14ac:dyDescent="0.2">
      <c r="A112" s="62">
        <f t="shared" si="3"/>
        <v>110</v>
      </c>
      <c r="B112" s="7" t="s">
        <v>221</v>
      </c>
      <c r="C112" s="14" t="s">
        <v>217</v>
      </c>
      <c r="D112" s="14" t="s">
        <v>222</v>
      </c>
      <c r="E112" s="82" t="s">
        <v>232</v>
      </c>
      <c r="F112" s="96">
        <v>14467</v>
      </c>
      <c r="G112" s="63">
        <v>12543912416.91</v>
      </c>
    </row>
    <row r="113" spans="1:7" ht="54.75" customHeight="1" x14ac:dyDescent="0.2">
      <c r="A113" s="60">
        <f t="shared" si="3"/>
        <v>111</v>
      </c>
      <c r="B113" s="109" t="s">
        <v>274</v>
      </c>
      <c r="C113" s="110" t="s">
        <v>39</v>
      </c>
      <c r="D113" s="110" t="s">
        <v>220</v>
      </c>
      <c r="E113" s="83" t="s">
        <v>226</v>
      </c>
      <c r="F113" s="97"/>
      <c r="G113" s="64">
        <v>1480000</v>
      </c>
    </row>
    <row r="114" spans="1:7" ht="53.25" customHeight="1" x14ac:dyDescent="0.2">
      <c r="A114" s="123">
        <f t="shared" si="3"/>
        <v>112</v>
      </c>
      <c r="B114" s="124" t="s">
        <v>276</v>
      </c>
      <c r="C114" s="125" t="s">
        <v>23</v>
      </c>
      <c r="D114" s="125" t="s">
        <v>23</v>
      </c>
      <c r="E114" s="126" t="s">
        <v>277</v>
      </c>
      <c r="F114" s="127">
        <v>800</v>
      </c>
      <c r="G114" s="128">
        <v>1299866680</v>
      </c>
    </row>
    <row r="115" spans="1:7" ht="30.75" customHeight="1" thickBot="1" x14ac:dyDescent="0.25">
      <c r="A115" s="112" t="s">
        <v>223</v>
      </c>
      <c r="B115" s="113"/>
      <c r="C115" s="113"/>
      <c r="D115" s="114"/>
      <c r="E115" s="68"/>
      <c r="F115" s="67">
        <f>SUM(F3:F112)</f>
        <v>440750</v>
      </c>
      <c r="G115" s="67">
        <f>SUM(G3:G114)</f>
        <v>1778942205660.6934</v>
      </c>
    </row>
    <row r="119" spans="1:7" ht="15" x14ac:dyDescent="0.2">
      <c r="D119" s="111"/>
      <c r="E119" s="111"/>
      <c r="F119" s="111"/>
      <c r="G119" s="108"/>
    </row>
    <row r="120" spans="1:7" ht="15" x14ac:dyDescent="0.2">
      <c r="D120" s="111"/>
      <c r="E120" s="111"/>
      <c r="F120" s="111"/>
      <c r="G120" s="108"/>
    </row>
    <row r="121" spans="1:7" ht="15" x14ac:dyDescent="0.2">
      <c r="D121" s="111"/>
      <c r="E121" s="111"/>
      <c r="F121" s="111"/>
      <c r="G121" s="108"/>
    </row>
    <row r="122" spans="1:7" ht="15" x14ac:dyDescent="0.2">
      <c r="D122" s="111"/>
      <c r="E122" s="111"/>
      <c r="F122" s="111"/>
      <c r="G122" s="108"/>
    </row>
    <row r="123" spans="1:7" ht="15" x14ac:dyDescent="0.2">
      <c r="D123" s="111"/>
      <c r="E123" s="111"/>
      <c r="F123" s="111"/>
      <c r="G123" s="108"/>
    </row>
    <row r="124" spans="1:7" ht="15" x14ac:dyDescent="0.2">
      <c r="D124" s="111"/>
      <c r="E124" s="111"/>
      <c r="F124" s="111"/>
      <c r="G124" s="108"/>
    </row>
  </sheetData>
  <mergeCells count="10">
    <mergeCell ref="A115:D115"/>
    <mergeCell ref="A1:F1"/>
    <mergeCell ref="H10:L10"/>
    <mergeCell ref="H11:L11"/>
    <mergeCell ref="D119:F119"/>
    <mergeCell ref="D120:F120"/>
    <mergeCell ref="D121:F121"/>
    <mergeCell ref="D122:F122"/>
    <mergeCell ref="D123:F123"/>
    <mergeCell ref="D124:F124"/>
  </mergeCells>
  <printOptions horizontalCentered="1"/>
  <pageMargins left="0.51181102362204722" right="0.31496062992125984" top="0.74803149606299213" bottom="0.55118110236220474" header="0.31496062992125984" footer="0.31496062992125984"/>
  <pageSetup scale="7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4"/>
  <sheetViews>
    <sheetView workbookViewId="0"/>
  </sheetViews>
  <sheetFormatPr baseColWidth="10" defaultColWidth="9.33203125" defaultRowHeight="12.75" x14ac:dyDescent="0.2"/>
  <cols>
    <col min="1" max="1" width="7" customWidth="1"/>
    <col min="2" max="2" width="31" customWidth="1"/>
    <col min="3" max="3" width="19" customWidth="1"/>
    <col min="4" max="4" width="68" customWidth="1"/>
    <col min="5" max="5" width="29" customWidth="1"/>
    <col min="6" max="6" width="58" customWidth="1"/>
  </cols>
  <sheetData>
    <row r="1" spans="1:6" ht="27.95" customHeight="1" x14ac:dyDescent="0.2">
      <c r="A1" s="121" t="s">
        <v>233</v>
      </c>
      <c r="B1" s="121"/>
      <c r="C1" s="121"/>
      <c r="D1" s="121"/>
      <c r="E1" s="121"/>
      <c r="F1" s="121"/>
    </row>
    <row r="2" spans="1:6" ht="57.95" customHeight="1" x14ac:dyDescent="0.2">
      <c r="A2" s="122" t="s">
        <v>234</v>
      </c>
      <c r="B2" s="122"/>
      <c r="C2" s="122"/>
      <c r="D2" s="122"/>
      <c r="E2" s="122"/>
      <c r="F2" s="122"/>
    </row>
    <row r="4" spans="1:6" ht="32.1" customHeight="1" x14ac:dyDescent="0.2">
      <c r="A4" s="98" t="s">
        <v>0</v>
      </c>
      <c r="B4" s="98" t="s">
        <v>235</v>
      </c>
      <c r="C4" s="98" t="s">
        <v>236</v>
      </c>
      <c r="D4" s="98" t="s">
        <v>237</v>
      </c>
      <c r="E4" s="98" t="s">
        <v>238</v>
      </c>
      <c r="F4" s="98" t="s">
        <v>239</v>
      </c>
    </row>
    <row r="5" spans="1:6" ht="25.5" x14ac:dyDescent="0.2">
      <c r="A5" s="100">
        <v>1</v>
      </c>
      <c r="B5" s="99" t="s">
        <v>224</v>
      </c>
      <c r="C5" s="101">
        <v>126823</v>
      </c>
      <c r="D5" s="99" t="s">
        <v>240</v>
      </c>
      <c r="E5" s="99" t="s">
        <v>241</v>
      </c>
      <c r="F5" s="99" t="s">
        <v>242</v>
      </c>
    </row>
    <row r="6" spans="1:6" ht="38.25" x14ac:dyDescent="0.2">
      <c r="A6" s="100">
        <v>2</v>
      </c>
      <c r="B6" s="99" t="s">
        <v>225</v>
      </c>
      <c r="C6" s="101">
        <v>2125</v>
      </c>
      <c r="D6" s="99" t="s">
        <v>243</v>
      </c>
      <c r="E6" s="99" t="s">
        <v>244</v>
      </c>
      <c r="F6" s="99" t="s">
        <v>245</v>
      </c>
    </row>
    <row r="7" spans="1:6" ht="25.5" x14ac:dyDescent="0.2">
      <c r="A7" s="100">
        <v>3</v>
      </c>
      <c r="B7" s="99" t="s">
        <v>226</v>
      </c>
      <c r="C7" s="101">
        <v>400</v>
      </c>
      <c r="D7" s="99" t="s">
        <v>246</v>
      </c>
      <c r="E7" s="99" t="s">
        <v>247</v>
      </c>
      <c r="F7" s="99" t="s">
        <v>248</v>
      </c>
    </row>
    <row r="8" spans="1:6" ht="25.5" x14ac:dyDescent="0.2">
      <c r="A8" s="100">
        <v>4</v>
      </c>
      <c r="B8" s="99" t="s">
        <v>224</v>
      </c>
      <c r="C8" s="101">
        <v>34739</v>
      </c>
      <c r="D8" s="99" t="s">
        <v>249</v>
      </c>
      <c r="E8" s="99" t="s">
        <v>241</v>
      </c>
      <c r="F8" s="99" t="s">
        <v>242</v>
      </c>
    </row>
    <row r="9" spans="1:6" ht="25.5" x14ac:dyDescent="0.2">
      <c r="A9" s="100">
        <v>5</v>
      </c>
      <c r="B9" s="99" t="s">
        <v>226</v>
      </c>
      <c r="C9" s="101">
        <v>126823</v>
      </c>
      <c r="D9" s="99" t="s">
        <v>240</v>
      </c>
      <c r="E9" s="99" t="s">
        <v>241</v>
      </c>
      <c r="F9" s="99" t="s">
        <v>242</v>
      </c>
    </row>
    <row r="10" spans="1:6" ht="25.5" x14ac:dyDescent="0.2">
      <c r="A10" s="100">
        <v>6</v>
      </c>
      <c r="B10" s="99" t="s">
        <v>224</v>
      </c>
      <c r="C10" s="101">
        <v>126823</v>
      </c>
      <c r="D10" s="99" t="s">
        <v>240</v>
      </c>
      <c r="E10" s="99" t="s">
        <v>241</v>
      </c>
      <c r="F10" s="99" t="s">
        <v>242</v>
      </c>
    </row>
    <row r="11" spans="1:6" ht="38.25" x14ac:dyDescent="0.2">
      <c r="A11" s="100">
        <v>7</v>
      </c>
      <c r="B11" s="99" t="s">
        <v>225</v>
      </c>
      <c r="C11" s="101">
        <v>861</v>
      </c>
      <c r="D11" s="99" t="s">
        <v>243</v>
      </c>
      <c r="E11" s="99" t="s">
        <v>244</v>
      </c>
      <c r="F11" s="99" t="s">
        <v>245</v>
      </c>
    </row>
    <row r="12" spans="1:6" ht="25.5" x14ac:dyDescent="0.2">
      <c r="A12" s="100">
        <v>8</v>
      </c>
      <c r="B12" s="99" t="s">
        <v>227</v>
      </c>
      <c r="C12" s="101">
        <v>18000</v>
      </c>
      <c r="D12" s="99" t="s">
        <v>250</v>
      </c>
      <c r="E12" s="99" t="s">
        <v>251</v>
      </c>
      <c r="F12" s="99" t="s">
        <v>252</v>
      </c>
    </row>
    <row r="13" spans="1:6" ht="38.25" x14ac:dyDescent="0.2">
      <c r="A13" s="100">
        <v>9</v>
      </c>
      <c r="B13" s="99" t="s">
        <v>225</v>
      </c>
      <c r="C13" s="101">
        <v>3227</v>
      </c>
      <c r="D13" s="99" t="s">
        <v>243</v>
      </c>
      <c r="E13" s="99" t="s">
        <v>244</v>
      </c>
      <c r="F13" s="99" t="s">
        <v>245</v>
      </c>
    </row>
    <row r="14" spans="1:6" ht="38.25" x14ac:dyDescent="0.2">
      <c r="A14" s="100">
        <v>10</v>
      </c>
      <c r="B14" s="99" t="s">
        <v>225</v>
      </c>
      <c r="C14" s="101">
        <v>402</v>
      </c>
      <c r="D14" s="99" t="s">
        <v>243</v>
      </c>
      <c r="E14" s="99" t="s">
        <v>244</v>
      </c>
      <c r="F14" s="99" t="s">
        <v>245</v>
      </c>
    </row>
    <row r="15" spans="1:6" ht="38.25" x14ac:dyDescent="0.2">
      <c r="A15" s="100">
        <v>11</v>
      </c>
      <c r="B15" s="99" t="s">
        <v>225</v>
      </c>
      <c r="C15" s="101">
        <v>2144</v>
      </c>
      <c r="D15" s="99" t="s">
        <v>243</v>
      </c>
      <c r="E15" s="99" t="s">
        <v>244</v>
      </c>
      <c r="F15" s="99" t="s">
        <v>245</v>
      </c>
    </row>
    <row r="16" spans="1:6" ht="38.25" x14ac:dyDescent="0.2">
      <c r="A16" s="100">
        <v>12</v>
      </c>
      <c r="B16" s="99" t="s">
        <v>225</v>
      </c>
      <c r="C16" s="101">
        <v>2080</v>
      </c>
      <c r="D16" s="99" t="s">
        <v>243</v>
      </c>
      <c r="E16" s="99" t="s">
        <v>244</v>
      </c>
      <c r="F16" s="99" t="s">
        <v>245</v>
      </c>
    </row>
    <row r="17" spans="1:6" ht="38.25" x14ac:dyDescent="0.2">
      <c r="A17" s="100">
        <v>13</v>
      </c>
      <c r="B17" s="99" t="s">
        <v>225</v>
      </c>
      <c r="C17" s="101">
        <v>3510</v>
      </c>
      <c r="D17" s="99" t="s">
        <v>243</v>
      </c>
      <c r="E17" s="99" t="s">
        <v>244</v>
      </c>
      <c r="F17" s="99" t="s">
        <v>245</v>
      </c>
    </row>
    <row r="18" spans="1:6" ht="38.25" x14ac:dyDescent="0.2">
      <c r="A18" s="100">
        <v>14</v>
      </c>
      <c r="B18" s="99" t="s">
        <v>225</v>
      </c>
      <c r="C18" s="101">
        <v>1244</v>
      </c>
      <c r="D18" s="99" t="s">
        <v>243</v>
      </c>
      <c r="E18" s="99" t="s">
        <v>244</v>
      </c>
      <c r="F18" s="99" t="s">
        <v>245</v>
      </c>
    </row>
    <row r="19" spans="1:6" ht="38.25" x14ac:dyDescent="0.2">
      <c r="A19" s="100">
        <v>15</v>
      </c>
      <c r="B19" s="99" t="s">
        <v>225</v>
      </c>
      <c r="C19" s="101">
        <v>32988</v>
      </c>
      <c r="D19" s="99" t="s">
        <v>243</v>
      </c>
      <c r="E19" s="99" t="s">
        <v>244</v>
      </c>
      <c r="F19" s="99" t="s">
        <v>245</v>
      </c>
    </row>
    <row r="20" spans="1:6" ht="38.25" x14ac:dyDescent="0.2">
      <c r="A20" s="100">
        <v>16</v>
      </c>
      <c r="B20" s="99" t="s">
        <v>225</v>
      </c>
      <c r="C20" s="101">
        <v>9498</v>
      </c>
      <c r="D20" s="99" t="s">
        <v>243</v>
      </c>
      <c r="E20" s="99" t="s">
        <v>244</v>
      </c>
      <c r="F20" s="99" t="s">
        <v>245</v>
      </c>
    </row>
    <row r="21" spans="1:6" ht="38.25" x14ac:dyDescent="0.2">
      <c r="A21" s="100">
        <v>17</v>
      </c>
      <c r="B21" s="99" t="s">
        <v>228</v>
      </c>
      <c r="C21" s="101">
        <v>59197</v>
      </c>
      <c r="D21" s="99" t="s">
        <v>253</v>
      </c>
      <c r="E21" s="99" t="s">
        <v>244</v>
      </c>
      <c r="F21" s="99" t="s">
        <v>245</v>
      </c>
    </row>
    <row r="22" spans="1:6" ht="38.25" x14ac:dyDescent="0.2">
      <c r="A22" s="100">
        <v>18</v>
      </c>
      <c r="B22" s="99" t="s">
        <v>228</v>
      </c>
      <c r="C22" s="101">
        <v>51944</v>
      </c>
      <c r="D22" s="99" t="s">
        <v>253</v>
      </c>
      <c r="E22" s="99" t="s">
        <v>244</v>
      </c>
      <c r="F22" s="99" t="s">
        <v>245</v>
      </c>
    </row>
    <row r="23" spans="1:6" ht="38.25" x14ac:dyDescent="0.2">
      <c r="A23" s="100">
        <v>19</v>
      </c>
      <c r="B23" s="99" t="s">
        <v>228</v>
      </c>
      <c r="C23" s="101">
        <v>13907</v>
      </c>
      <c r="D23" s="99" t="s">
        <v>253</v>
      </c>
      <c r="E23" s="99" t="s">
        <v>244</v>
      </c>
      <c r="F23" s="99" t="s">
        <v>245</v>
      </c>
    </row>
    <row r="24" spans="1:6" ht="38.25" x14ac:dyDescent="0.2">
      <c r="A24" s="100">
        <v>20</v>
      </c>
      <c r="B24" s="99" t="s">
        <v>228</v>
      </c>
      <c r="C24" s="101">
        <v>24411</v>
      </c>
      <c r="D24" s="99" t="s">
        <v>253</v>
      </c>
      <c r="E24" s="99" t="s">
        <v>244</v>
      </c>
      <c r="F24" s="99" t="s">
        <v>245</v>
      </c>
    </row>
    <row r="25" spans="1:6" ht="38.25" x14ac:dyDescent="0.2">
      <c r="A25" s="100">
        <v>21</v>
      </c>
      <c r="B25" s="99" t="s">
        <v>228</v>
      </c>
      <c r="C25" s="101">
        <v>20171</v>
      </c>
      <c r="D25" s="99" t="s">
        <v>253</v>
      </c>
      <c r="E25" s="99" t="s">
        <v>244</v>
      </c>
      <c r="F25" s="99" t="s">
        <v>245</v>
      </c>
    </row>
    <row r="26" spans="1:6" ht="38.25" x14ac:dyDescent="0.2">
      <c r="A26" s="100">
        <v>22</v>
      </c>
      <c r="B26" s="99" t="s">
        <v>228</v>
      </c>
      <c r="C26" s="101">
        <v>22014</v>
      </c>
      <c r="D26" s="99" t="s">
        <v>253</v>
      </c>
      <c r="E26" s="99" t="s">
        <v>244</v>
      </c>
      <c r="F26" s="99" t="s">
        <v>245</v>
      </c>
    </row>
    <row r="27" spans="1:6" ht="38.25" x14ac:dyDescent="0.2">
      <c r="A27" s="100">
        <v>23</v>
      </c>
      <c r="B27" s="99" t="s">
        <v>228</v>
      </c>
      <c r="C27" s="101">
        <v>3206</v>
      </c>
      <c r="D27" s="99" t="s">
        <v>253</v>
      </c>
      <c r="E27" s="99" t="s">
        <v>244</v>
      </c>
      <c r="F27" s="99" t="s">
        <v>245</v>
      </c>
    </row>
    <row r="28" spans="1:6" ht="38.25" x14ac:dyDescent="0.2">
      <c r="A28" s="100">
        <v>24</v>
      </c>
      <c r="B28" s="99" t="s">
        <v>228</v>
      </c>
      <c r="C28" s="101">
        <v>12240</v>
      </c>
      <c r="D28" s="99" t="s">
        <v>253</v>
      </c>
      <c r="E28" s="99" t="s">
        <v>244</v>
      </c>
      <c r="F28" s="99" t="s">
        <v>245</v>
      </c>
    </row>
    <row r="29" spans="1:6" ht="25.5" x14ac:dyDescent="0.2">
      <c r="A29" s="100">
        <v>25</v>
      </c>
      <c r="B29" s="99" t="s">
        <v>228</v>
      </c>
      <c r="C29" s="101">
        <v>8835</v>
      </c>
      <c r="D29" s="99" t="s">
        <v>254</v>
      </c>
      <c r="E29" s="99" t="s">
        <v>241</v>
      </c>
      <c r="F29" s="99" t="s">
        <v>242</v>
      </c>
    </row>
    <row r="30" spans="1:6" ht="25.5" x14ac:dyDescent="0.2">
      <c r="A30" s="100">
        <v>26</v>
      </c>
      <c r="B30" s="99" t="s">
        <v>228</v>
      </c>
      <c r="C30" s="101">
        <v>16961</v>
      </c>
      <c r="D30" s="99" t="s">
        <v>254</v>
      </c>
      <c r="E30" s="99" t="s">
        <v>241</v>
      </c>
      <c r="F30" s="99" t="s">
        <v>242</v>
      </c>
    </row>
    <row r="31" spans="1:6" ht="25.5" x14ac:dyDescent="0.2">
      <c r="A31" s="100">
        <v>27</v>
      </c>
      <c r="B31" s="99" t="s">
        <v>226</v>
      </c>
      <c r="C31" s="101">
        <v>1291</v>
      </c>
      <c r="D31" s="99" t="s">
        <v>240</v>
      </c>
      <c r="E31" s="99" t="s">
        <v>241</v>
      </c>
      <c r="F31" s="99" t="s">
        <v>242</v>
      </c>
    </row>
    <row r="32" spans="1:6" ht="25.5" x14ac:dyDescent="0.2">
      <c r="A32" s="100">
        <v>28</v>
      </c>
      <c r="B32" s="99" t="s">
        <v>227</v>
      </c>
      <c r="C32" s="101">
        <v>316257</v>
      </c>
      <c r="D32" s="99" t="s">
        <v>255</v>
      </c>
      <c r="E32" s="99" t="s">
        <v>241</v>
      </c>
      <c r="F32" s="99" t="s">
        <v>242</v>
      </c>
    </row>
    <row r="33" spans="1:6" ht="25.5" x14ac:dyDescent="0.2">
      <c r="A33" s="100">
        <v>29</v>
      </c>
      <c r="B33" s="99" t="s">
        <v>226</v>
      </c>
      <c r="C33" s="101">
        <v>24208</v>
      </c>
      <c r="D33" s="99" t="s">
        <v>240</v>
      </c>
      <c r="E33" s="99" t="s">
        <v>241</v>
      </c>
      <c r="F33" s="99" t="s">
        <v>242</v>
      </c>
    </row>
    <row r="34" spans="1:6" ht="25.5" x14ac:dyDescent="0.2">
      <c r="A34" s="100">
        <v>30</v>
      </c>
      <c r="B34" s="99" t="s">
        <v>226</v>
      </c>
      <c r="C34" s="101">
        <v>11835</v>
      </c>
      <c r="D34" s="99" t="s">
        <v>240</v>
      </c>
      <c r="E34" s="99" t="s">
        <v>241</v>
      </c>
      <c r="F34" s="99" t="s">
        <v>242</v>
      </c>
    </row>
    <row r="35" spans="1:6" ht="25.5" x14ac:dyDescent="0.2">
      <c r="A35" s="100">
        <v>31</v>
      </c>
      <c r="B35" s="99" t="s">
        <v>226</v>
      </c>
      <c r="C35" s="101">
        <v>10131</v>
      </c>
      <c r="D35" s="99" t="s">
        <v>240</v>
      </c>
      <c r="E35" s="99" t="s">
        <v>241</v>
      </c>
      <c r="F35" s="99" t="s">
        <v>242</v>
      </c>
    </row>
    <row r="36" spans="1:6" ht="25.5" x14ac:dyDescent="0.2">
      <c r="A36" s="100">
        <v>32</v>
      </c>
      <c r="B36" s="99" t="s">
        <v>226</v>
      </c>
      <c r="C36" s="101">
        <v>25870</v>
      </c>
      <c r="D36" s="99" t="s">
        <v>240</v>
      </c>
      <c r="E36" s="99" t="s">
        <v>241</v>
      </c>
      <c r="F36" s="99" t="s">
        <v>242</v>
      </c>
    </row>
    <row r="37" spans="1:6" ht="25.5" x14ac:dyDescent="0.2">
      <c r="A37" s="100">
        <v>33</v>
      </c>
      <c r="B37" s="99" t="s">
        <v>224</v>
      </c>
      <c r="C37" s="101">
        <v>17996</v>
      </c>
      <c r="D37" s="99" t="s">
        <v>240</v>
      </c>
      <c r="E37" s="99" t="s">
        <v>241</v>
      </c>
      <c r="F37" s="99" t="s">
        <v>242</v>
      </c>
    </row>
    <row r="38" spans="1:6" ht="25.5" x14ac:dyDescent="0.2">
      <c r="A38" s="100">
        <v>34</v>
      </c>
      <c r="B38" s="99" t="s">
        <v>226</v>
      </c>
      <c r="C38" s="101">
        <v>4629</v>
      </c>
      <c r="D38" s="99" t="s">
        <v>240</v>
      </c>
      <c r="E38" s="99" t="s">
        <v>241</v>
      </c>
      <c r="F38" s="99" t="s">
        <v>242</v>
      </c>
    </row>
    <row r="39" spans="1:6" ht="25.5" x14ac:dyDescent="0.2">
      <c r="A39" s="100">
        <v>35</v>
      </c>
      <c r="B39" s="99" t="s">
        <v>227</v>
      </c>
      <c r="C39" s="101">
        <v>24912</v>
      </c>
      <c r="D39" s="99" t="s">
        <v>249</v>
      </c>
      <c r="E39" s="99" t="s">
        <v>241</v>
      </c>
      <c r="F39" s="99" t="s">
        <v>242</v>
      </c>
    </row>
    <row r="40" spans="1:6" ht="25.5" x14ac:dyDescent="0.2">
      <c r="A40" s="100">
        <v>36</v>
      </c>
      <c r="B40" s="99" t="s">
        <v>229</v>
      </c>
      <c r="C40" s="101">
        <v>14973</v>
      </c>
      <c r="D40" s="99" t="s">
        <v>240</v>
      </c>
      <c r="E40" s="99" t="s">
        <v>241</v>
      </c>
      <c r="F40" s="99" t="s">
        <v>242</v>
      </c>
    </row>
    <row r="41" spans="1:6" ht="25.5" x14ac:dyDescent="0.2">
      <c r="A41" s="100">
        <v>37</v>
      </c>
      <c r="B41" s="99" t="s">
        <v>229</v>
      </c>
      <c r="C41" s="101">
        <v>9752</v>
      </c>
      <c r="D41" s="99" t="s">
        <v>240</v>
      </c>
      <c r="E41" s="99" t="s">
        <v>241</v>
      </c>
      <c r="F41" s="99" t="s">
        <v>242</v>
      </c>
    </row>
    <row r="42" spans="1:6" ht="25.5" x14ac:dyDescent="0.2">
      <c r="A42" s="100">
        <v>38</v>
      </c>
      <c r="B42" s="99" t="s">
        <v>226</v>
      </c>
      <c r="C42" s="101">
        <v>93</v>
      </c>
      <c r="D42" s="99" t="s">
        <v>256</v>
      </c>
      <c r="E42" s="99" t="s">
        <v>257</v>
      </c>
      <c r="F42" s="99" t="s">
        <v>258</v>
      </c>
    </row>
    <row r="43" spans="1:6" x14ac:dyDescent="0.2">
      <c r="A43" s="100">
        <v>39</v>
      </c>
      <c r="B43" s="99" t="s">
        <v>226</v>
      </c>
      <c r="C43" s="101">
        <v>50</v>
      </c>
      <c r="D43" s="99" t="s">
        <v>259</v>
      </c>
      <c r="E43" s="99" t="s">
        <v>251</v>
      </c>
      <c r="F43" s="99" t="s">
        <v>260</v>
      </c>
    </row>
    <row r="44" spans="1:6" ht="25.5" x14ac:dyDescent="0.2">
      <c r="A44" s="100">
        <v>40</v>
      </c>
      <c r="B44" s="99" t="s">
        <v>230</v>
      </c>
      <c r="C44" s="101">
        <v>17029</v>
      </c>
      <c r="D44" s="99" t="s">
        <v>240</v>
      </c>
      <c r="E44" s="99" t="s">
        <v>241</v>
      </c>
      <c r="F44" s="99" t="s">
        <v>242</v>
      </c>
    </row>
    <row r="45" spans="1:6" x14ac:dyDescent="0.2">
      <c r="A45" s="100">
        <v>41</v>
      </c>
      <c r="B45" s="99" t="s">
        <v>226</v>
      </c>
      <c r="C45" s="101">
        <v>40</v>
      </c>
      <c r="D45" s="99" t="s">
        <v>261</v>
      </c>
      <c r="E45" s="99" t="s">
        <v>251</v>
      </c>
      <c r="F45" s="99" t="s">
        <v>260</v>
      </c>
    </row>
    <row r="46" spans="1:6" ht="25.5" x14ac:dyDescent="0.2">
      <c r="A46" s="100">
        <v>42</v>
      </c>
      <c r="B46" s="99" t="s">
        <v>229</v>
      </c>
      <c r="C46" s="101">
        <v>158430</v>
      </c>
      <c r="D46" s="99" t="s">
        <v>255</v>
      </c>
      <c r="E46" s="99" t="s">
        <v>241</v>
      </c>
      <c r="F46" s="99" t="s">
        <v>242</v>
      </c>
    </row>
    <row r="47" spans="1:6" ht="25.5" x14ac:dyDescent="0.2">
      <c r="A47" s="100">
        <v>43</v>
      </c>
      <c r="B47" s="99" t="s">
        <v>224</v>
      </c>
      <c r="C47" s="101">
        <v>15258</v>
      </c>
      <c r="D47" s="99" t="s">
        <v>240</v>
      </c>
      <c r="E47" s="99" t="s">
        <v>241</v>
      </c>
      <c r="F47" s="99" t="s">
        <v>242</v>
      </c>
    </row>
    <row r="48" spans="1:6" ht="25.5" x14ac:dyDescent="0.2">
      <c r="A48" s="100">
        <v>44</v>
      </c>
      <c r="B48" s="99" t="s">
        <v>224</v>
      </c>
      <c r="C48" s="101">
        <v>12047</v>
      </c>
      <c r="D48" s="99" t="s">
        <v>240</v>
      </c>
      <c r="E48" s="99" t="s">
        <v>241</v>
      </c>
      <c r="F48" s="99" t="s">
        <v>242</v>
      </c>
    </row>
    <row r="49" spans="1:6" ht="25.5" x14ac:dyDescent="0.2">
      <c r="A49" s="100">
        <v>45</v>
      </c>
      <c r="B49" s="99" t="s">
        <v>224</v>
      </c>
      <c r="C49" s="101">
        <v>620</v>
      </c>
      <c r="D49" s="99" t="s">
        <v>262</v>
      </c>
      <c r="E49" s="99" t="s">
        <v>257</v>
      </c>
      <c r="F49" s="99" t="s">
        <v>258</v>
      </c>
    </row>
    <row r="50" spans="1:6" ht="25.5" x14ac:dyDescent="0.2">
      <c r="A50" s="100">
        <v>46</v>
      </c>
      <c r="B50" s="99" t="s">
        <v>224</v>
      </c>
      <c r="C50" s="101">
        <v>4378</v>
      </c>
      <c r="D50" s="99" t="s">
        <v>240</v>
      </c>
      <c r="E50" s="99" t="s">
        <v>241</v>
      </c>
      <c r="F50" s="99" t="s">
        <v>242</v>
      </c>
    </row>
    <row r="51" spans="1:6" ht="25.5" x14ac:dyDescent="0.2">
      <c r="A51" s="100">
        <v>47</v>
      </c>
      <c r="B51" s="99" t="s">
        <v>224</v>
      </c>
      <c r="C51" s="101">
        <v>5468</v>
      </c>
      <c r="D51" s="99" t="s">
        <v>240</v>
      </c>
      <c r="E51" s="99" t="s">
        <v>241</v>
      </c>
      <c r="F51" s="99" t="s">
        <v>242</v>
      </c>
    </row>
    <row r="52" spans="1:6" ht="25.5" x14ac:dyDescent="0.2">
      <c r="A52" s="100">
        <v>48</v>
      </c>
      <c r="B52" s="99" t="s">
        <v>224</v>
      </c>
      <c r="C52" s="101">
        <v>12967</v>
      </c>
      <c r="D52" s="99" t="s">
        <v>240</v>
      </c>
      <c r="E52" s="99" t="s">
        <v>241</v>
      </c>
      <c r="F52" s="99" t="s">
        <v>242</v>
      </c>
    </row>
    <row r="53" spans="1:6" ht="25.5" x14ac:dyDescent="0.2">
      <c r="A53" s="100">
        <v>49</v>
      </c>
      <c r="B53" s="99" t="s">
        <v>224</v>
      </c>
      <c r="C53" s="101">
        <v>10032</v>
      </c>
      <c r="D53" s="99" t="s">
        <v>240</v>
      </c>
      <c r="E53" s="99" t="s">
        <v>241</v>
      </c>
      <c r="F53" s="99" t="s">
        <v>242</v>
      </c>
    </row>
    <row r="54" spans="1:6" ht="25.5" x14ac:dyDescent="0.2">
      <c r="A54" s="100">
        <v>50</v>
      </c>
      <c r="B54" s="99" t="s">
        <v>224</v>
      </c>
      <c r="C54" s="101">
        <v>11266</v>
      </c>
      <c r="D54" s="99" t="s">
        <v>240</v>
      </c>
      <c r="E54" s="99" t="s">
        <v>241</v>
      </c>
      <c r="F54" s="99" t="s">
        <v>242</v>
      </c>
    </row>
    <row r="55" spans="1:6" ht="25.5" x14ac:dyDescent="0.2">
      <c r="A55" s="100">
        <v>51</v>
      </c>
      <c r="B55" s="99" t="s">
        <v>224</v>
      </c>
      <c r="C55" s="101">
        <v>3776</v>
      </c>
      <c r="D55" s="99" t="s">
        <v>240</v>
      </c>
      <c r="E55" s="99" t="s">
        <v>241</v>
      </c>
      <c r="F55" s="99" t="s">
        <v>242</v>
      </c>
    </row>
    <row r="56" spans="1:6" ht="25.5" x14ac:dyDescent="0.2">
      <c r="A56" s="100">
        <v>52</v>
      </c>
      <c r="B56" s="99" t="s">
        <v>224</v>
      </c>
      <c r="C56" s="101">
        <v>11060</v>
      </c>
      <c r="D56" s="99" t="s">
        <v>240</v>
      </c>
      <c r="E56" s="99" t="s">
        <v>241</v>
      </c>
      <c r="F56" s="99" t="s">
        <v>242</v>
      </c>
    </row>
    <row r="57" spans="1:6" ht="25.5" x14ac:dyDescent="0.2">
      <c r="A57" s="100">
        <v>53</v>
      </c>
      <c r="B57" s="99" t="s">
        <v>224</v>
      </c>
      <c r="C57" s="101">
        <v>17467</v>
      </c>
      <c r="D57" s="99" t="s">
        <v>240</v>
      </c>
      <c r="E57" s="99" t="s">
        <v>241</v>
      </c>
      <c r="F57" s="99" t="s">
        <v>242</v>
      </c>
    </row>
    <row r="58" spans="1:6" ht="25.5" x14ac:dyDescent="0.2">
      <c r="A58" s="100">
        <v>54</v>
      </c>
      <c r="B58" s="99" t="s">
        <v>224</v>
      </c>
      <c r="C58" s="101">
        <v>6272</v>
      </c>
      <c r="D58" s="99" t="s">
        <v>240</v>
      </c>
      <c r="E58" s="99" t="s">
        <v>241</v>
      </c>
      <c r="F58" s="99" t="s">
        <v>242</v>
      </c>
    </row>
    <row r="59" spans="1:6" ht="25.5" x14ac:dyDescent="0.2">
      <c r="A59" s="100">
        <v>55</v>
      </c>
      <c r="B59" s="99" t="s">
        <v>224</v>
      </c>
      <c r="C59" s="101">
        <v>5418</v>
      </c>
      <c r="D59" s="99" t="s">
        <v>240</v>
      </c>
      <c r="E59" s="99" t="s">
        <v>241</v>
      </c>
      <c r="F59" s="99" t="s">
        <v>242</v>
      </c>
    </row>
    <row r="60" spans="1:6" ht="25.5" x14ac:dyDescent="0.2">
      <c r="A60" s="100">
        <v>56</v>
      </c>
      <c r="B60" s="99" t="s">
        <v>224</v>
      </c>
      <c r="C60" s="101">
        <v>5412</v>
      </c>
      <c r="D60" s="99" t="s">
        <v>240</v>
      </c>
      <c r="E60" s="99" t="s">
        <v>241</v>
      </c>
      <c r="F60" s="99" t="s">
        <v>242</v>
      </c>
    </row>
    <row r="61" spans="1:6" ht="25.5" x14ac:dyDescent="0.2">
      <c r="A61" s="100">
        <v>57</v>
      </c>
      <c r="B61" s="99" t="s">
        <v>224</v>
      </c>
      <c r="C61" s="101">
        <v>1240</v>
      </c>
      <c r="D61" s="99" t="s">
        <v>263</v>
      </c>
      <c r="E61" s="99" t="s">
        <v>257</v>
      </c>
      <c r="F61" s="99" t="s">
        <v>258</v>
      </c>
    </row>
    <row r="62" spans="1:6" ht="25.5" x14ac:dyDescent="0.2">
      <c r="A62" s="100">
        <v>58</v>
      </c>
      <c r="B62" s="99" t="s">
        <v>224</v>
      </c>
      <c r="C62" s="101">
        <v>10307</v>
      </c>
      <c r="D62" s="99" t="s">
        <v>240</v>
      </c>
      <c r="E62" s="99" t="s">
        <v>241</v>
      </c>
      <c r="F62" s="99" t="s">
        <v>242</v>
      </c>
    </row>
    <row r="63" spans="1:6" ht="25.5" x14ac:dyDescent="0.2">
      <c r="A63" s="100">
        <v>59</v>
      </c>
      <c r="B63" s="99" t="s">
        <v>224</v>
      </c>
      <c r="C63" s="101">
        <v>753</v>
      </c>
      <c r="D63" s="99" t="s">
        <v>240</v>
      </c>
      <c r="E63" s="99" t="s">
        <v>241</v>
      </c>
      <c r="F63" s="99" t="s">
        <v>242</v>
      </c>
    </row>
    <row r="64" spans="1:6" ht="25.5" x14ac:dyDescent="0.2">
      <c r="A64" s="100">
        <v>60</v>
      </c>
      <c r="B64" s="99" t="s">
        <v>224</v>
      </c>
      <c r="C64" s="101">
        <v>7448</v>
      </c>
      <c r="D64" s="99" t="s">
        <v>240</v>
      </c>
      <c r="E64" s="99" t="s">
        <v>241</v>
      </c>
      <c r="F64" s="99" t="s">
        <v>242</v>
      </c>
    </row>
    <row r="65" spans="1:6" ht="25.5" x14ac:dyDescent="0.2">
      <c r="A65" s="100">
        <v>61</v>
      </c>
      <c r="B65" s="99" t="s">
        <v>224</v>
      </c>
      <c r="C65" s="101">
        <v>11089</v>
      </c>
      <c r="D65" s="99" t="s">
        <v>240</v>
      </c>
      <c r="E65" s="99" t="s">
        <v>241</v>
      </c>
      <c r="F65" s="99" t="s">
        <v>242</v>
      </c>
    </row>
    <row r="66" spans="1:6" ht="25.5" x14ac:dyDescent="0.2">
      <c r="A66" s="100">
        <v>62</v>
      </c>
      <c r="B66" s="99" t="s">
        <v>226</v>
      </c>
      <c r="C66" s="101">
        <v>200</v>
      </c>
      <c r="D66" s="99" t="s">
        <v>264</v>
      </c>
      <c r="E66" s="99" t="s">
        <v>247</v>
      </c>
      <c r="F66" s="99" t="s">
        <v>248</v>
      </c>
    </row>
    <row r="67" spans="1:6" ht="25.5" x14ac:dyDescent="0.2">
      <c r="A67" s="100">
        <v>63</v>
      </c>
      <c r="B67" s="99" t="s">
        <v>224</v>
      </c>
      <c r="C67" s="101">
        <v>100</v>
      </c>
      <c r="D67" s="99" t="s">
        <v>265</v>
      </c>
      <c r="E67" s="99" t="s">
        <v>251</v>
      </c>
      <c r="F67" s="99" t="s">
        <v>260</v>
      </c>
    </row>
    <row r="68" spans="1:6" ht="25.5" x14ac:dyDescent="0.2">
      <c r="A68" s="100">
        <v>64</v>
      </c>
      <c r="B68" s="99" t="s">
        <v>224</v>
      </c>
      <c r="C68" s="101">
        <v>310</v>
      </c>
      <c r="D68" s="99" t="s">
        <v>266</v>
      </c>
      <c r="E68" s="99" t="s">
        <v>257</v>
      </c>
      <c r="F68" s="99" t="s">
        <v>258</v>
      </c>
    </row>
    <row r="69" spans="1:6" ht="25.5" x14ac:dyDescent="0.2">
      <c r="A69" s="100">
        <v>65</v>
      </c>
      <c r="B69" s="99" t="s">
        <v>226</v>
      </c>
      <c r="C69" s="101">
        <v>23035</v>
      </c>
      <c r="D69" s="99" t="s">
        <v>240</v>
      </c>
      <c r="E69" s="99" t="s">
        <v>241</v>
      </c>
      <c r="F69" s="99" t="s">
        <v>242</v>
      </c>
    </row>
    <row r="70" spans="1:6" ht="25.5" x14ac:dyDescent="0.2">
      <c r="A70" s="100">
        <v>66</v>
      </c>
      <c r="B70" s="99" t="s">
        <v>226</v>
      </c>
      <c r="C70" s="101">
        <v>44104</v>
      </c>
      <c r="D70" s="99" t="s">
        <v>240</v>
      </c>
      <c r="E70" s="99" t="s">
        <v>241</v>
      </c>
      <c r="F70" s="99" t="s">
        <v>242</v>
      </c>
    </row>
    <row r="71" spans="1:6" ht="25.5" x14ac:dyDescent="0.2">
      <c r="A71" s="100">
        <v>67</v>
      </c>
      <c r="B71" s="99" t="s">
        <v>226</v>
      </c>
      <c r="C71" s="101">
        <v>4856</v>
      </c>
      <c r="D71" s="99" t="s">
        <v>240</v>
      </c>
      <c r="E71" s="99" t="s">
        <v>241</v>
      </c>
      <c r="F71" s="99" t="s">
        <v>242</v>
      </c>
    </row>
    <row r="72" spans="1:6" ht="25.5" x14ac:dyDescent="0.2">
      <c r="A72" s="100">
        <v>68</v>
      </c>
      <c r="B72" s="99" t="s">
        <v>226</v>
      </c>
      <c r="C72" s="101">
        <v>1291</v>
      </c>
      <c r="D72" s="99" t="s">
        <v>240</v>
      </c>
      <c r="E72" s="99" t="s">
        <v>241</v>
      </c>
      <c r="F72" s="99" t="s">
        <v>242</v>
      </c>
    </row>
    <row r="73" spans="1:6" ht="25.5" x14ac:dyDescent="0.2">
      <c r="A73" s="100">
        <v>69</v>
      </c>
      <c r="B73" s="99" t="s">
        <v>226</v>
      </c>
      <c r="C73" s="101">
        <v>12550</v>
      </c>
      <c r="D73" s="99" t="s">
        <v>240</v>
      </c>
      <c r="E73" s="99" t="s">
        <v>241</v>
      </c>
      <c r="F73" s="99" t="s">
        <v>242</v>
      </c>
    </row>
    <row r="74" spans="1:6" ht="25.5" x14ac:dyDescent="0.2">
      <c r="A74" s="100">
        <v>70</v>
      </c>
      <c r="B74" s="99" t="s">
        <v>226</v>
      </c>
      <c r="C74" s="101">
        <v>25870</v>
      </c>
      <c r="D74" s="99" t="s">
        <v>240</v>
      </c>
      <c r="E74" s="99" t="s">
        <v>241</v>
      </c>
      <c r="F74" s="99" t="s">
        <v>242</v>
      </c>
    </row>
    <row r="75" spans="1:6" x14ac:dyDescent="0.2">
      <c r="A75" s="100">
        <v>71</v>
      </c>
      <c r="B75" s="99" t="s">
        <v>226</v>
      </c>
      <c r="C75" s="101">
        <v>250</v>
      </c>
      <c r="D75" s="99" t="s">
        <v>267</v>
      </c>
      <c r="E75" s="99" t="s">
        <v>251</v>
      </c>
      <c r="F75" s="99" t="s">
        <v>260</v>
      </c>
    </row>
    <row r="76" spans="1:6" x14ac:dyDescent="0.2">
      <c r="A76" s="100">
        <v>72</v>
      </c>
      <c r="B76" s="99" t="s">
        <v>226</v>
      </c>
      <c r="C76" s="101">
        <v>200</v>
      </c>
      <c r="D76" s="99" t="s">
        <v>268</v>
      </c>
      <c r="E76" s="99" t="s">
        <v>251</v>
      </c>
      <c r="F76" s="99" t="s">
        <v>260</v>
      </c>
    </row>
    <row r="77" spans="1:6" x14ac:dyDescent="0.2">
      <c r="A77" s="100">
        <v>73</v>
      </c>
      <c r="B77" s="99" t="s">
        <v>226</v>
      </c>
      <c r="C77" s="101">
        <v>300</v>
      </c>
      <c r="D77" s="99" t="s">
        <v>269</v>
      </c>
      <c r="E77" s="99" t="s">
        <v>251</v>
      </c>
      <c r="F77" s="99" t="s">
        <v>260</v>
      </c>
    </row>
    <row r="78" spans="1:6" x14ac:dyDescent="0.2">
      <c r="A78" s="100">
        <v>74</v>
      </c>
      <c r="B78" s="99" t="s">
        <v>226</v>
      </c>
      <c r="C78" s="101">
        <v>200</v>
      </c>
      <c r="D78" s="99" t="s">
        <v>268</v>
      </c>
      <c r="E78" s="99" t="s">
        <v>251</v>
      </c>
      <c r="F78" s="99" t="s">
        <v>260</v>
      </c>
    </row>
    <row r="79" spans="1:6" ht="25.5" x14ac:dyDescent="0.2">
      <c r="A79" s="100">
        <v>75</v>
      </c>
      <c r="B79" s="99" t="s">
        <v>227</v>
      </c>
      <c r="C79" s="101">
        <v>8767</v>
      </c>
      <c r="D79" s="99" t="s">
        <v>249</v>
      </c>
      <c r="E79" s="99" t="s">
        <v>241</v>
      </c>
      <c r="F79" s="99" t="s">
        <v>242</v>
      </c>
    </row>
    <row r="80" spans="1:6" ht="25.5" x14ac:dyDescent="0.2">
      <c r="A80" s="100">
        <v>76</v>
      </c>
      <c r="B80" s="99" t="s">
        <v>227</v>
      </c>
      <c r="C80" s="101">
        <v>19832</v>
      </c>
      <c r="D80" s="99" t="s">
        <v>249</v>
      </c>
      <c r="E80" s="99" t="s">
        <v>241</v>
      </c>
      <c r="F80" s="99" t="s">
        <v>242</v>
      </c>
    </row>
    <row r="81" spans="1:6" ht="25.5" x14ac:dyDescent="0.2">
      <c r="A81" s="100">
        <v>77</v>
      </c>
      <c r="B81" s="99" t="s">
        <v>230</v>
      </c>
      <c r="C81" s="101">
        <v>2699</v>
      </c>
      <c r="D81" s="99" t="s">
        <v>240</v>
      </c>
      <c r="E81" s="99" t="s">
        <v>241</v>
      </c>
      <c r="F81" s="99" t="s">
        <v>242</v>
      </c>
    </row>
    <row r="82" spans="1:6" ht="25.5" x14ac:dyDescent="0.2">
      <c r="A82" s="100">
        <v>78</v>
      </c>
      <c r="B82" s="99" t="s">
        <v>230</v>
      </c>
      <c r="C82" s="101">
        <v>6000</v>
      </c>
      <c r="D82" s="99" t="s">
        <v>240</v>
      </c>
      <c r="E82" s="99" t="s">
        <v>241</v>
      </c>
      <c r="F82" s="99" t="s">
        <v>242</v>
      </c>
    </row>
    <row r="83" spans="1:6" ht="25.5" x14ac:dyDescent="0.2">
      <c r="A83" s="100">
        <v>79</v>
      </c>
      <c r="B83" s="99" t="s">
        <v>230</v>
      </c>
      <c r="C83" s="101">
        <v>9809</v>
      </c>
      <c r="D83" s="99" t="s">
        <v>240</v>
      </c>
      <c r="E83" s="99" t="s">
        <v>241</v>
      </c>
      <c r="F83" s="99" t="s">
        <v>242</v>
      </c>
    </row>
    <row r="84" spans="1:6" ht="25.5" x14ac:dyDescent="0.2">
      <c r="A84" s="100">
        <v>80</v>
      </c>
      <c r="B84" s="99" t="s">
        <v>230</v>
      </c>
      <c r="C84" s="101">
        <v>9081</v>
      </c>
      <c r="D84" s="99" t="s">
        <v>240</v>
      </c>
      <c r="E84" s="99" t="s">
        <v>241</v>
      </c>
      <c r="F84" s="99" t="s">
        <v>242</v>
      </c>
    </row>
    <row r="85" spans="1:6" x14ac:dyDescent="0.2">
      <c r="A85" s="100">
        <v>81</v>
      </c>
      <c r="B85" s="99" t="s">
        <v>226</v>
      </c>
      <c r="C85" s="101">
        <v>200</v>
      </c>
      <c r="D85" s="99" t="s">
        <v>268</v>
      </c>
      <c r="E85" s="99" t="s">
        <v>251</v>
      </c>
      <c r="F85" s="99" t="s">
        <v>260</v>
      </c>
    </row>
    <row r="86" spans="1:6" ht="25.5" x14ac:dyDescent="0.2">
      <c r="A86" s="100">
        <v>82</v>
      </c>
      <c r="B86" s="99" t="s">
        <v>229</v>
      </c>
      <c r="C86" s="101">
        <v>158430</v>
      </c>
      <c r="D86" s="99" t="s">
        <v>255</v>
      </c>
      <c r="E86" s="99" t="s">
        <v>241</v>
      </c>
      <c r="F86" s="99" t="s">
        <v>242</v>
      </c>
    </row>
    <row r="87" spans="1:6" ht="25.5" x14ac:dyDescent="0.2">
      <c r="A87" s="100">
        <v>83</v>
      </c>
      <c r="B87" s="99" t="s">
        <v>230</v>
      </c>
      <c r="C87" s="101">
        <v>126823</v>
      </c>
      <c r="D87" s="99" t="s">
        <v>240</v>
      </c>
      <c r="E87" s="99" t="s">
        <v>241</v>
      </c>
      <c r="F87" s="99" t="s">
        <v>242</v>
      </c>
    </row>
    <row r="88" spans="1:6" ht="25.5" x14ac:dyDescent="0.2">
      <c r="A88" s="100">
        <v>84</v>
      </c>
      <c r="B88" s="99" t="s">
        <v>230</v>
      </c>
      <c r="C88" s="101">
        <v>11835</v>
      </c>
      <c r="D88" s="99" t="s">
        <v>240</v>
      </c>
      <c r="E88" s="99" t="s">
        <v>241</v>
      </c>
      <c r="F88" s="99" t="s">
        <v>242</v>
      </c>
    </row>
    <row r="89" spans="1:6" ht="38.25" x14ac:dyDescent="0.2">
      <c r="A89" s="100">
        <v>85</v>
      </c>
      <c r="B89" s="99" t="s">
        <v>225</v>
      </c>
      <c r="C89" s="101">
        <v>43038</v>
      </c>
      <c r="D89" s="99" t="s">
        <v>270</v>
      </c>
      <c r="E89" s="99" t="s">
        <v>244</v>
      </c>
      <c r="F89" s="99" t="s">
        <v>245</v>
      </c>
    </row>
    <row r="90" spans="1:6" ht="38.25" x14ac:dyDescent="0.2">
      <c r="A90" s="100">
        <v>86</v>
      </c>
      <c r="B90" s="99" t="s">
        <v>225</v>
      </c>
      <c r="C90" s="101">
        <v>2355</v>
      </c>
      <c r="D90" s="99" t="s">
        <v>270</v>
      </c>
      <c r="E90" s="99" t="s">
        <v>244</v>
      </c>
      <c r="F90" s="99" t="s">
        <v>245</v>
      </c>
    </row>
    <row r="91" spans="1:6" ht="38.25" x14ac:dyDescent="0.2">
      <c r="A91" s="100">
        <v>87</v>
      </c>
      <c r="B91" s="99" t="s">
        <v>225</v>
      </c>
      <c r="C91" s="101">
        <v>2490</v>
      </c>
      <c r="D91" s="99" t="s">
        <v>270</v>
      </c>
      <c r="E91" s="99" t="s">
        <v>244</v>
      </c>
      <c r="F91" s="99" t="s">
        <v>245</v>
      </c>
    </row>
    <row r="92" spans="1:6" ht="38.25" x14ac:dyDescent="0.2">
      <c r="A92" s="100">
        <v>88</v>
      </c>
      <c r="B92" s="99" t="s">
        <v>225</v>
      </c>
      <c r="C92" s="101">
        <v>4040</v>
      </c>
      <c r="D92" s="99" t="s">
        <v>270</v>
      </c>
      <c r="E92" s="99" t="s">
        <v>244</v>
      </c>
      <c r="F92" s="99" t="s">
        <v>245</v>
      </c>
    </row>
    <row r="93" spans="1:6" ht="38.25" x14ac:dyDescent="0.2">
      <c r="A93" s="100">
        <v>89</v>
      </c>
      <c r="B93" s="99" t="s">
        <v>225</v>
      </c>
      <c r="C93" s="101">
        <v>2490</v>
      </c>
      <c r="D93" s="99" t="s">
        <v>270</v>
      </c>
      <c r="E93" s="99" t="s">
        <v>244</v>
      </c>
      <c r="F93" s="99" t="s">
        <v>245</v>
      </c>
    </row>
    <row r="94" spans="1:6" ht="38.25" x14ac:dyDescent="0.2">
      <c r="A94" s="100">
        <v>90</v>
      </c>
      <c r="B94" s="99" t="s">
        <v>225</v>
      </c>
      <c r="C94" s="101">
        <v>14910</v>
      </c>
      <c r="D94" s="99" t="s">
        <v>270</v>
      </c>
      <c r="E94" s="99" t="s">
        <v>244</v>
      </c>
      <c r="F94" s="99" t="s">
        <v>245</v>
      </c>
    </row>
    <row r="95" spans="1:6" x14ac:dyDescent="0.2">
      <c r="A95" s="100">
        <v>91</v>
      </c>
      <c r="B95" s="99" t="s">
        <v>226</v>
      </c>
      <c r="C95" s="101">
        <v>200</v>
      </c>
      <c r="D95" s="99" t="s">
        <v>268</v>
      </c>
      <c r="E95" s="99" t="s">
        <v>251</v>
      </c>
      <c r="F95" s="99" t="s">
        <v>260</v>
      </c>
    </row>
    <row r="96" spans="1:6" ht="38.25" x14ac:dyDescent="0.2">
      <c r="A96" s="100">
        <v>92</v>
      </c>
      <c r="B96" s="99" t="s">
        <v>225</v>
      </c>
      <c r="C96" s="101">
        <v>6380</v>
      </c>
      <c r="D96" s="99" t="s">
        <v>243</v>
      </c>
      <c r="E96" s="99" t="s">
        <v>244</v>
      </c>
      <c r="F96" s="99" t="s">
        <v>245</v>
      </c>
    </row>
    <row r="97" spans="1:6" x14ac:dyDescent="0.2">
      <c r="A97" s="100">
        <v>93</v>
      </c>
      <c r="B97" s="99" t="s">
        <v>226</v>
      </c>
      <c r="C97" s="101">
        <v>200</v>
      </c>
      <c r="D97" s="99" t="s">
        <v>268</v>
      </c>
      <c r="E97" s="99" t="s">
        <v>251</v>
      </c>
      <c r="F97" s="99" t="s">
        <v>260</v>
      </c>
    </row>
    <row r="98" spans="1:6" ht="25.5" x14ac:dyDescent="0.2">
      <c r="A98" s="100">
        <v>94</v>
      </c>
      <c r="B98" s="99" t="s">
        <v>229</v>
      </c>
      <c r="C98" s="101">
        <v>14107</v>
      </c>
      <c r="D98" s="99" t="s">
        <v>255</v>
      </c>
      <c r="E98" s="99" t="s">
        <v>241</v>
      </c>
      <c r="F98" s="99" t="s">
        <v>242</v>
      </c>
    </row>
    <row r="99" spans="1:6" ht="25.5" x14ac:dyDescent="0.2">
      <c r="A99" s="100">
        <v>95</v>
      </c>
      <c r="B99" s="99" t="s">
        <v>227</v>
      </c>
      <c r="C99" s="101">
        <v>130286</v>
      </c>
      <c r="D99" s="99" t="s">
        <v>249</v>
      </c>
      <c r="E99" s="99" t="s">
        <v>241</v>
      </c>
      <c r="F99" s="99" t="s">
        <v>242</v>
      </c>
    </row>
    <row r="100" spans="1:6" ht="25.5" x14ac:dyDescent="0.2">
      <c r="A100" s="100">
        <v>96</v>
      </c>
      <c r="B100" s="99" t="s">
        <v>227</v>
      </c>
      <c r="C100" s="101">
        <v>13717</v>
      </c>
      <c r="D100" s="99" t="s">
        <v>249</v>
      </c>
      <c r="E100" s="99" t="s">
        <v>241</v>
      </c>
      <c r="F100" s="99" t="s">
        <v>242</v>
      </c>
    </row>
    <row r="101" spans="1:6" ht="25.5" x14ac:dyDescent="0.2">
      <c r="A101" s="100">
        <v>97</v>
      </c>
      <c r="B101" s="99" t="s">
        <v>227</v>
      </c>
      <c r="C101" s="101">
        <v>12327</v>
      </c>
      <c r="D101" s="99" t="s">
        <v>255</v>
      </c>
      <c r="E101" s="99" t="s">
        <v>241</v>
      </c>
      <c r="F101" s="99" t="s">
        <v>242</v>
      </c>
    </row>
    <row r="102" spans="1:6" ht="38.25" x14ac:dyDescent="0.2">
      <c r="A102" s="100">
        <v>98</v>
      </c>
      <c r="B102" s="99" t="s">
        <v>225</v>
      </c>
      <c r="C102" s="101">
        <v>122452</v>
      </c>
      <c r="D102" s="99" t="s">
        <v>243</v>
      </c>
      <c r="E102" s="99" t="s">
        <v>244</v>
      </c>
      <c r="F102" s="99" t="s">
        <v>245</v>
      </c>
    </row>
    <row r="103" spans="1:6" ht="38.25" x14ac:dyDescent="0.2">
      <c r="A103" s="100">
        <v>99</v>
      </c>
      <c r="B103" s="99" t="s">
        <v>225</v>
      </c>
      <c r="C103" s="101">
        <v>6208</v>
      </c>
      <c r="D103" s="99" t="s">
        <v>243</v>
      </c>
      <c r="E103" s="99" t="s">
        <v>244</v>
      </c>
      <c r="F103" s="99" t="s">
        <v>245</v>
      </c>
    </row>
    <row r="104" spans="1:6" ht="25.5" x14ac:dyDescent="0.2">
      <c r="A104" s="100">
        <v>100</v>
      </c>
      <c r="B104" s="99" t="s">
        <v>227</v>
      </c>
      <c r="C104" s="101">
        <v>24720</v>
      </c>
      <c r="D104" s="99" t="s">
        <v>249</v>
      </c>
      <c r="E104" s="99" t="s">
        <v>241</v>
      </c>
      <c r="F104" s="99" t="s">
        <v>242</v>
      </c>
    </row>
    <row r="105" spans="1:6" ht="25.5" x14ac:dyDescent="0.2">
      <c r="A105" s="100">
        <v>101</v>
      </c>
      <c r="B105" s="99" t="s">
        <v>229</v>
      </c>
      <c r="C105" s="101">
        <v>34458</v>
      </c>
      <c r="D105" s="99" t="s">
        <v>240</v>
      </c>
      <c r="E105" s="99" t="s">
        <v>241</v>
      </c>
      <c r="F105" s="99" t="s">
        <v>242</v>
      </c>
    </row>
    <row r="106" spans="1:6" ht="25.5" x14ac:dyDescent="0.2">
      <c r="A106" s="100">
        <v>102</v>
      </c>
      <c r="B106" s="99" t="s">
        <v>230</v>
      </c>
      <c r="C106" s="101">
        <v>69849</v>
      </c>
      <c r="D106" s="99" t="s">
        <v>240</v>
      </c>
      <c r="E106" s="99" t="s">
        <v>241</v>
      </c>
      <c r="F106" s="99" t="s">
        <v>242</v>
      </c>
    </row>
    <row r="107" spans="1:6" ht="25.5" x14ac:dyDescent="0.2">
      <c r="A107" s="100">
        <v>103</v>
      </c>
      <c r="B107" s="99" t="s">
        <v>226</v>
      </c>
      <c r="C107" s="101">
        <v>126823</v>
      </c>
      <c r="D107" s="99" t="s">
        <v>240</v>
      </c>
      <c r="E107" s="99" t="s">
        <v>241</v>
      </c>
      <c r="F107" s="99" t="s">
        <v>242</v>
      </c>
    </row>
    <row r="108" spans="1:6" ht="38.25" x14ac:dyDescent="0.2">
      <c r="A108" s="100">
        <v>104</v>
      </c>
      <c r="B108" s="99" t="s">
        <v>228</v>
      </c>
      <c r="C108" s="101">
        <v>1080122</v>
      </c>
      <c r="D108" s="99" t="s">
        <v>271</v>
      </c>
      <c r="E108" s="99" t="s">
        <v>244</v>
      </c>
      <c r="F108" s="99" t="s">
        <v>245</v>
      </c>
    </row>
    <row r="109" spans="1:6" ht="25.5" x14ac:dyDescent="0.2">
      <c r="A109" s="100">
        <v>105</v>
      </c>
      <c r="B109" s="99" t="s">
        <v>227</v>
      </c>
      <c r="C109" s="101">
        <v>139111</v>
      </c>
      <c r="D109" s="99" t="s">
        <v>249</v>
      </c>
      <c r="E109" s="99" t="s">
        <v>241</v>
      </c>
      <c r="F109" s="99" t="s">
        <v>242</v>
      </c>
    </row>
    <row r="110" spans="1:6" ht="25.5" x14ac:dyDescent="0.2">
      <c r="A110" s="100">
        <v>106</v>
      </c>
      <c r="B110" s="99" t="s">
        <v>224</v>
      </c>
      <c r="C110" s="101">
        <v>218184</v>
      </c>
      <c r="D110" s="99" t="s">
        <v>249</v>
      </c>
      <c r="E110" s="99" t="s">
        <v>241</v>
      </c>
      <c r="F110" s="99" t="s">
        <v>242</v>
      </c>
    </row>
    <row r="111" spans="1:6" ht="25.5" x14ac:dyDescent="0.2">
      <c r="A111" s="100">
        <v>107</v>
      </c>
      <c r="B111" s="99" t="s">
        <v>229</v>
      </c>
      <c r="C111" s="101">
        <v>30467</v>
      </c>
      <c r="D111" s="99" t="s">
        <v>255</v>
      </c>
      <c r="E111" s="99" t="s">
        <v>241</v>
      </c>
      <c r="F111" s="99" t="s">
        <v>242</v>
      </c>
    </row>
    <row r="112" spans="1:6" ht="25.5" x14ac:dyDescent="0.2">
      <c r="A112" s="100">
        <v>108</v>
      </c>
      <c r="B112" s="99" t="s">
        <v>231</v>
      </c>
      <c r="C112" s="101">
        <v>4944</v>
      </c>
      <c r="D112" s="99" t="s">
        <v>240</v>
      </c>
      <c r="E112" s="99" t="s">
        <v>241</v>
      </c>
      <c r="F112" s="99" t="s">
        <v>242</v>
      </c>
    </row>
    <row r="113" spans="1:6" ht="25.5" x14ac:dyDescent="0.2">
      <c r="A113" s="100">
        <v>109</v>
      </c>
      <c r="B113" s="99" t="s">
        <v>226</v>
      </c>
      <c r="C113" s="101">
        <v>12732</v>
      </c>
      <c r="D113" s="99" t="s">
        <v>240</v>
      </c>
      <c r="E113" s="99" t="s">
        <v>241</v>
      </c>
      <c r="F113" s="99" t="s">
        <v>242</v>
      </c>
    </row>
    <row r="114" spans="1:6" ht="25.5" x14ac:dyDescent="0.2">
      <c r="A114" s="100">
        <v>110</v>
      </c>
      <c r="B114" s="99" t="s">
        <v>232</v>
      </c>
      <c r="C114" s="101">
        <v>30467</v>
      </c>
      <c r="D114" s="99" t="s">
        <v>255</v>
      </c>
      <c r="E114" s="99" t="s">
        <v>241</v>
      </c>
      <c r="F114" s="99" t="s">
        <v>242</v>
      </c>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Table 1</vt:lpstr>
      <vt:lpstr>Metodología y 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2026-07-29T14:26:18Z</cp:lastPrinted>
  <dcterms:created xsi:type="dcterms:W3CDTF">2026-07-29T01:13:41Z</dcterms:created>
  <dcterms:modified xsi:type="dcterms:W3CDTF">2026-08-06T14:07:52Z</dcterms:modified>
</cp:coreProperties>
</file>